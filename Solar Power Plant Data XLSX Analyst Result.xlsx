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ar Power Plant Data" sheetId="1" r:id="rId4"/>
    <sheet state="visible" name="Feature Engineering" sheetId="2" r:id="rId5"/>
    <sheet state="visible" name="Forecasting" sheetId="3" r:id="rId6"/>
  </sheets>
  <definedNames>
    <definedName hidden="1" localSheetId="0" name="_xlnm._FilterDatabase">'Solar Power Plant Data'!$A$1:$H$745</definedName>
  </definedNames>
  <calcPr/>
</workbook>
</file>

<file path=xl/sharedStrings.xml><?xml version="1.0" encoding="utf-8"?>
<sst xmlns="http://schemas.openxmlformats.org/spreadsheetml/2006/main" count="2228" uniqueCount="654">
  <si>
    <t>Date Hour (NMT)</t>
  </si>
  <si>
    <t>Wind Speed</t>
  </si>
  <si>
    <t>Sunshine</t>
  </si>
  <si>
    <t>Air Pressure</t>
  </si>
  <si>
    <t>Radiation</t>
  </si>
  <si>
    <t>Air Temperature</t>
  </si>
  <si>
    <t>Relative Air Humidity</t>
  </si>
  <si>
    <t>System Production</t>
  </si>
  <si>
    <t>0,6</t>
  </si>
  <si>
    <t>1003,8</t>
  </si>
  <si>
    <t>0,1</t>
  </si>
  <si>
    <t>Missing Value</t>
  </si>
  <si>
    <t>1,7</t>
  </si>
  <si>
    <t>1003,5</t>
  </si>
  <si>
    <t>-0,2</t>
  </si>
  <si>
    <t>1003,4</t>
  </si>
  <si>
    <t>-1,2</t>
  </si>
  <si>
    <t>2,4</t>
  </si>
  <si>
    <t>1003,3</t>
  </si>
  <si>
    <t>-1,3</t>
  </si>
  <si>
    <t>Rata Rata</t>
  </si>
  <si>
    <t>1003,1</t>
  </si>
  <si>
    <t>3,6</t>
  </si>
  <si>
    <t>Median</t>
  </si>
  <si>
    <t>1,4</t>
  </si>
  <si>
    <t>1,5</t>
  </si>
  <si>
    <t>Standar Deviasi</t>
  </si>
  <si>
    <t>1003,7</t>
  </si>
  <si>
    <t>0,4</t>
  </si>
  <si>
    <t>1,3</t>
  </si>
  <si>
    <t>1003,9</t>
  </si>
  <si>
    <t>-0,9</t>
  </si>
  <si>
    <t>1004,3</t>
  </si>
  <si>
    <t>Korelasi</t>
  </si>
  <si>
    <t>1004,8</t>
  </si>
  <si>
    <t>1005,2</t>
  </si>
  <si>
    <t>-1,9</t>
  </si>
  <si>
    <t>1,1</t>
  </si>
  <si>
    <t>1005,8</t>
  </si>
  <si>
    <t>49,7</t>
  </si>
  <si>
    <t>1,2</t>
  </si>
  <si>
    <t>1006,1</t>
  </si>
  <si>
    <t>138,7</t>
  </si>
  <si>
    <t>1,8</t>
  </si>
  <si>
    <t>121,6</t>
  </si>
  <si>
    <t>2,7</t>
  </si>
  <si>
    <t>1006,5</t>
  </si>
  <si>
    <t>1007,6</t>
  </si>
  <si>
    <t>33,1</t>
  </si>
  <si>
    <t>4,8</t>
  </si>
  <si>
    <t>2,5</t>
  </si>
  <si>
    <t>1008,5</t>
  </si>
  <si>
    <t>3,8</t>
  </si>
  <si>
    <t>1009,1</t>
  </si>
  <si>
    <t>3,2</t>
  </si>
  <si>
    <t>4,7</t>
  </si>
  <si>
    <t>4,2</t>
  </si>
  <si>
    <t>1011,2</t>
  </si>
  <si>
    <t>2,8</t>
  </si>
  <si>
    <t>1012,2</t>
  </si>
  <si>
    <t>2,3</t>
  </si>
  <si>
    <t>3,3</t>
  </si>
  <si>
    <t>1012,7</t>
  </si>
  <si>
    <t>1013,1</t>
  </si>
  <si>
    <t>2,6</t>
  </si>
  <si>
    <t>1013,4</t>
  </si>
  <si>
    <t>0,5</t>
  </si>
  <si>
    <t>1013,6</t>
  </si>
  <si>
    <t>-2,1</t>
  </si>
  <si>
    <t>1013,3</t>
  </si>
  <si>
    <t>-3,1</t>
  </si>
  <si>
    <t>0,7</t>
  </si>
  <si>
    <t>-3,4</t>
  </si>
  <si>
    <t>1013,2</t>
  </si>
  <si>
    <t>1012,8</t>
  </si>
  <si>
    <t>1012,5</t>
  </si>
  <si>
    <t>-3,3</t>
  </si>
  <si>
    <t>1012,3</t>
  </si>
  <si>
    <t>6,4</t>
  </si>
  <si>
    <t>40,1</t>
  </si>
  <si>
    <t>-2,3</t>
  </si>
  <si>
    <t>1012,1</t>
  </si>
  <si>
    <t>71,3</t>
  </si>
  <si>
    <t>1011,9</t>
  </si>
  <si>
    <t>97,5</t>
  </si>
  <si>
    <t>1011,7</t>
  </si>
  <si>
    <t>0,2</t>
  </si>
  <si>
    <t>1,6</t>
  </si>
  <si>
    <t>1011,8</t>
  </si>
  <si>
    <t>2,2</t>
  </si>
  <si>
    <t>-1,6</t>
  </si>
  <si>
    <t>-3,6</t>
  </si>
  <si>
    <t>1011,6</t>
  </si>
  <si>
    <t>-4,4</t>
  </si>
  <si>
    <t>1011,5</t>
  </si>
  <si>
    <t>-5,2</t>
  </si>
  <si>
    <t>-5,3</t>
  </si>
  <si>
    <t>1010,9</t>
  </si>
  <si>
    <t>-4,8</t>
  </si>
  <si>
    <t>1009,9</t>
  </si>
  <si>
    <t>-4,2</t>
  </si>
  <si>
    <t>1,9</t>
  </si>
  <si>
    <t>-3,9</t>
  </si>
  <si>
    <t>1008,4</t>
  </si>
  <si>
    <t>-3,7</t>
  </si>
  <si>
    <t>1007,7</t>
  </si>
  <si>
    <t>0,8</t>
  </si>
  <si>
    <t>1006,9</t>
  </si>
  <si>
    <t>1005,5</t>
  </si>
  <si>
    <t>1004,5</t>
  </si>
  <si>
    <t>-4,5</t>
  </si>
  <si>
    <t>-4,1</t>
  </si>
  <si>
    <t>0,3</t>
  </si>
  <si>
    <t>1001,4</t>
  </si>
  <si>
    <t>1000,1</t>
  </si>
  <si>
    <t>998,4</t>
  </si>
  <si>
    <t>-3,2</t>
  </si>
  <si>
    <t>996,1</t>
  </si>
  <si>
    <t>10,2</t>
  </si>
  <si>
    <t>-2,4</t>
  </si>
  <si>
    <t>993,8</t>
  </si>
  <si>
    <t>39,3</t>
  </si>
  <si>
    <t>991,4</t>
  </si>
  <si>
    <t>59,8</t>
  </si>
  <si>
    <t>-1,5</t>
  </si>
  <si>
    <t>989,3</t>
  </si>
  <si>
    <t>85,5</t>
  </si>
  <si>
    <t>-0,8</t>
  </si>
  <si>
    <t>988,3</t>
  </si>
  <si>
    <t>29,5</t>
  </si>
  <si>
    <t>987,7</t>
  </si>
  <si>
    <t>986,9</t>
  </si>
  <si>
    <t>986,5</t>
  </si>
  <si>
    <t>986,7</t>
  </si>
  <si>
    <t>-1,7</t>
  </si>
  <si>
    <t>986,4</t>
  </si>
  <si>
    <t>-2,2</t>
  </si>
  <si>
    <t>3,1</t>
  </si>
  <si>
    <t>2,1</t>
  </si>
  <si>
    <t>-1,8</t>
  </si>
  <si>
    <t>990,9</t>
  </si>
  <si>
    <t>5,3</t>
  </si>
  <si>
    <t>993,2</t>
  </si>
  <si>
    <t>-0,7</t>
  </si>
  <si>
    <t>995,5</t>
  </si>
  <si>
    <t>-1,1</t>
  </si>
  <si>
    <t>997,4</t>
  </si>
  <si>
    <t>5,8</t>
  </si>
  <si>
    <t>998,6</t>
  </si>
  <si>
    <t>1000,9</t>
  </si>
  <si>
    <t>5,5</t>
  </si>
  <si>
    <t>1002,2</t>
  </si>
  <si>
    <t>-0,6</t>
  </si>
  <si>
    <t>8,8</t>
  </si>
  <si>
    <t>8,9</t>
  </si>
  <si>
    <t>1004,7</t>
  </si>
  <si>
    <t>37,6</t>
  </si>
  <si>
    <t>7,4</t>
  </si>
  <si>
    <t>75,5</t>
  </si>
  <si>
    <t>7,2</t>
  </si>
  <si>
    <t>1007,9</t>
  </si>
  <si>
    <t>33,7</t>
  </si>
  <si>
    <t>-2,5</t>
  </si>
  <si>
    <t>7,8</t>
  </si>
  <si>
    <t>1009,8</t>
  </si>
  <si>
    <t>21,8</t>
  </si>
  <si>
    <t>1011,4</t>
  </si>
  <si>
    <t>15,7</t>
  </si>
  <si>
    <t>6,1</t>
  </si>
  <si>
    <t>1013,5</t>
  </si>
  <si>
    <t>1014,9</t>
  </si>
  <si>
    <t>7,3</t>
  </si>
  <si>
    <t>1016,8</t>
  </si>
  <si>
    <t>5,2</t>
  </si>
  <si>
    <t>1018,5</t>
  </si>
  <si>
    <t>1020,4</t>
  </si>
  <si>
    <t>-5,5</t>
  </si>
  <si>
    <t>1022,2</t>
  </si>
  <si>
    <t>-5,6</t>
  </si>
  <si>
    <t>1023,9</t>
  </si>
  <si>
    <t>-6,2</t>
  </si>
  <si>
    <t>1025,5</t>
  </si>
  <si>
    <t>-7,1</t>
  </si>
  <si>
    <t>2,9</t>
  </si>
  <si>
    <t>1026,9</t>
  </si>
  <si>
    <t>-7,7</t>
  </si>
  <si>
    <t>1028,2</t>
  </si>
  <si>
    <t>-8,2</t>
  </si>
  <si>
    <t>1029,2</t>
  </si>
  <si>
    <t>-9,2</t>
  </si>
  <si>
    <t>1030,4</t>
  </si>
  <si>
    <t>-9,8</t>
  </si>
  <si>
    <t>1032,4</t>
  </si>
  <si>
    <t>1033,1</t>
  </si>
  <si>
    <t>-10,6</t>
  </si>
  <si>
    <t>-11,5</t>
  </si>
  <si>
    <t>1034,7</t>
  </si>
  <si>
    <t>-11,8</t>
  </si>
  <si>
    <t>1035,2</t>
  </si>
  <si>
    <t>-12,1</t>
  </si>
  <si>
    <t>8,6</t>
  </si>
  <si>
    <t>-11,4</t>
  </si>
  <si>
    <t>1036,6</t>
  </si>
  <si>
    <t>56,1</t>
  </si>
  <si>
    <t>-10,1</t>
  </si>
  <si>
    <t>1036,7</t>
  </si>
  <si>
    <t>96,8</t>
  </si>
  <si>
    <t>-9,5</t>
  </si>
  <si>
    <t>1036,9</t>
  </si>
  <si>
    <t>106,7</t>
  </si>
  <si>
    <t>-7,8</t>
  </si>
  <si>
    <t>1037,4</t>
  </si>
  <si>
    <t>65,9</t>
  </si>
  <si>
    <t>-8,4</t>
  </si>
  <si>
    <t>1037,9</t>
  </si>
  <si>
    <t>22,3</t>
  </si>
  <si>
    <t>-8,5</t>
  </si>
  <si>
    <t>-8,9</t>
  </si>
  <si>
    <t>1038,1</t>
  </si>
  <si>
    <t>1038,3</t>
  </si>
  <si>
    <t>-10,8</t>
  </si>
  <si>
    <t>1038,6</t>
  </si>
  <si>
    <t>-10,4</t>
  </si>
  <si>
    <t>1038,5</t>
  </si>
  <si>
    <t>-10,9</t>
  </si>
  <si>
    <t>1038,7</t>
  </si>
  <si>
    <t>-11,1</t>
  </si>
  <si>
    <t>1038,9</t>
  </si>
  <si>
    <t>1037,8</t>
  </si>
  <si>
    <t>-11,6</t>
  </si>
  <si>
    <t>1037,3</t>
  </si>
  <si>
    <t>1036,5</t>
  </si>
  <si>
    <t>1036,4</t>
  </si>
  <si>
    <t>-11,9</t>
  </si>
  <si>
    <t>-12,2</t>
  </si>
  <si>
    <t>1035,7</t>
  </si>
  <si>
    <t>-12,4</t>
  </si>
  <si>
    <t>1034,5</t>
  </si>
  <si>
    <t>1033,9</t>
  </si>
  <si>
    <t>1033,6</t>
  </si>
  <si>
    <t>1032,7</t>
  </si>
  <si>
    <t>16,1</t>
  </si>
  <si>
    <t>1031,9</t>
  </si>
  <si>
    <t>16,2</t>
  </si>
  <si>
    <t>1030,8</t>
  </si>
  <si>
    <t>1030,1</t>
  </si>
  <si>
    <t>15,1</t>
  </si>
  <si>
    <t>1028,7</t>
  </si>
  <si>
    <t>3,9</t>
  </si>
  <si>
    <t>1024,4</t>
  </si>
  <si>
    <t>-0,4</t>
  </si>
  <si>
    <t>4,4</t>
  </si>
  <si>
    <t>1022,6</t>
  </si>
  <si>
    <t>1021,2</t>
  </si>
  <si>
    <t>4,9</t>
  </si>
  <si>
    <t>1020,1</t>
  </si>
  <si>
    <t>1019,5</t>
  </si>
  <si>
    <t>3,7</t>
  </si>
  <si>
    <t>1019,1</t>
  </si>
  <si>
    <t>1018,3</t>
  </si>
  <si>
    <t>1017,4</t>
  </si>
  <si>
    <t>1016,7</t>
  </si>
  <si>
    <t>1016,3</t>
  </si>
  <si>
    <t>1016,5</t>
  </si>
  <si>
    <t>0,9</t>
  </si>
  <si>
    <t>1016,6</t>
  </si>
  <si>
    <t>1017,9</t>
  </si>
  <si>
    <t>1019,6</t>
  </si>
  <si>
    <t>33,4</t>
  </si>
  <si>
    <t>1022,5</t>
  </si>
  <si>
    <t>97,1</t>
  </si>
  <si>
    <t>1022,8</t>
  </si>
  <si>
    <t>86,6</t>
  </si>
  <si>
    <t>1023,3</t>
  </si>
  <si>
    <t>40,6</t>
  </si>
  <si>
    <t>1023,8</t>
  </si>
  <si>
    <t>1024,6</t>
  </si>
  <si>
    <t>-2,6</t>
  </si>
  <si>
    <t>1025,7</t>
  </si>
  <si>
    <t>-2,9</t>
  </si>
  <si>
    <t>1026,2</t>
  </si>
  <si>
    <t>1026,5</t>
  </si>
  <si>
    <t>1026,8</t>
  </si>
  <si>
    <t>-4,6</t>
  </si>
  <si>
    <t>1027,1</t>
  </si>
  <si>
    <t>-4,3</t>
  </si>
  <si>
    <t>-5,1</t>
  </si>
  <si>
    <t>1026,4</t>
  </si>
  <si>
    <t>-6,7</t>
  </si>
  <si>
    <t>1024,8</t>
  </si>
  <si>
    <t>1024,3</t>
  </si>
  <si>
    <t>1024,1</t>
  </si>
  <si>
    <t>1023,4</t>
  </si>
  <si>
    <t>7,7</t>
  </si>
  <si>
    <t>1023,2</t>
  </si>
  <si>
    <t>22,7</t>
  </si>
  <si>
    <t>-2,7</t>
  </si>
  <si>
    <t>1022,7</t>
  </si>
  <si>
    <t>52,1</t>
  </si>
  <si>
    <t>1021,9</t>
  </si>
  <si>
    <t>53,4</t>
  </si>
  <si>
    <t>1021,4</t>
  </si>
  <si>
    <t>19,2</t>
  </si>
  <si>
    <t>1021,5</t>
  </si>
  <si>
    <t>1020,9</t>
  </si>
  <si>
    <t>1020,7</t>
  </si>
  <si>
    <t>-2,8</t>
  </si>
  <si>
    <t>1019,9</t>
  </si>
  <si>
    <t>1019,4</t>
  </si>
  <si>
    <t>1018,4</t>
  </si>
  <si>
    <t>1017,6</t>
  </si>
  <si>
    <t>1017,1</t>
  </si>
  <si>
    <t>1015,6</t>
  </si>
  <si>
    <t>1014,5</t>
  </si>
  <si>
    <t>1013,8</t>
  </si>
  <si>
    <t>8,7</t>
  </si>
  <si>
    <t>-0,1</t>
  </si>
  <si>
    <t>20,9</t>
  </si>
  <si>
    <t>1010,7</t>
  </si>
  <si>
    <t>1009,5</t>
  </si>
  <si>
    <t>1008,9</t>
  </si>
  <si>
    <t>1007,2</t>
  </si>
  <si>
    <t>1006,7</t>
  </si>
  <si>
    <t>4,6</t>
  </si>
  <si>
    <t>4,5</t>
  </si>
  <si>
    <t>1005,9</t>
  </si>
  <si>
    <t>4,3</t>
  </si>
  <si>
    <t>1005,4</t>
  </si>
  <si>
    <t>4,1</t>
  </si>
  <si>
    <t>1005,1</t>
  </si>
  <si>
    <t>1004,6</t>
  </si>
  <si>
    <t>1004,4</t>
  </si>
  <si>
    <t>3,5</t>
  </si>
  <si>
    <t>1004,1</t>
  </si>
  <si>
    <t>1003,6</t>
  </si>
  <si>
    <t>1003,2</t>
  </si>
  <si>
    <t>1002,8</t>
  </si>
  <si>
    <t>1002,1</t>
  </si>
  <si>
    <t>1001,5</t>
  </si>
  <si>
    <t>1001,1</t>
  </si>
  <si>
    <t>1000,7</t>
  </si>
  <si>
    <t>999,7</t>
  </si>
  <si>
    <t>999,4</t>
  </si>
  <si>
    <t>3,4</t>
  </si>
  <si>
    <t>998,8</t>
  </si>
  <si>
    <t>997,9</t>
  </si>
  <si>
    <t>996,8</t>
  </si>
  <si>
    <t>995,2</t>
  </si>
  <si>
    <t>994,4</t>
  </si>
  <si>
    <t>5,7</t>
  </si>
  <si>
    <t>993,1</t>
  </si>
  <si>
    <t>991,7</t>
  </si>
  <si>
    <t>6,5</t>
  </si>
  <si>
    <t>990,4</t>
  </si>
  <si>
    <t>989,4</t>
  </si>
  <si>
    <t>987,5</t>
  </si>
  <si>
    <t>985,5</t>
  </si>
  <si>
    <t>6,6</t>
  </si>
  <si>
    <t>983,6</t>
  </si>
  <si>
    <t>7,9</t>
  </si>
  <si>
    <t>981,4</t>
  </si>
  <si>
    <t>8,5</t>
  </si>
  <si>
    <t>979,2</t>
  </si>
  <si>
    <t>977,1</t>
  </si>
  <si>
    <t>974,5</t>
  </si>
  <si>
    <t>971,5</t>
  </si>
  <si>
    <t>17,5</t>
  </si>
  <si>
    <t>969,2</t>
  </si>
  <si>
    <t>10,1</t>
  </si>
  <si>
    <t>967,6</t>
  </si>
  <si>
    <t>966,3</t>
  </si>
  <si>
    <t>965,9</t>
  </si>
  <si>
    <t>966,2</t>
  </si>
  <si>
    <t>966,9</t>
  </si>
  <si>
    <t>970,3</t>
  </si>
  <si>
    <t>971,4</t>
  </si>
  <si>
    <t>972,3</t>
  </si>
  <si>
    <t>973,7</t>
  </si>
  <si>
    <t>974,7</t>
  </si>
  <si>
    <t>975,2</t>
  </si>
  <si>
    <t>974,6</t>
  </si>
  <si>
    <t>974,3</t>
  </si>
  <si>
    <t>974,9</t>
  </si>
  <si>
    <t>975,5</t>
  </si>
  <si>
    <t>975,9</t>
  </si>
  <si>
    <t>29,4</t>
  </si>
  <si>
    <t>976,7</t>
  </si>
  <si>
    <t>51,5</t>
  </si>
  <si>
    <t>976,5</t>
  </si>
  <si>
    <t>93,8</t>
  </si>
  <si>
    <t>976,9</t>
  </si>
  <si>
    <t>977,5</t>
  </si>
  <si>
    <t>977,7</t>
  </si>
  <si>
    <t>978,1</t>
  </si>
  <si>
    <t>978,4</t>
  </si>
  <si>
    <t>979,1</t>
  </si>
  <si>
    <t>979,6</t>
  </si>
  <si>
    <t>980,1</t>
  </si>
  <si>
    <t>980,4</t>
  </si>
  <si>
    <t>980,9</t>
  </si>
  <si>
    <t>981,7</t>
  </si>
  <si>
    <t>982,4</t>
  </si>
  <si>
    <t>982,7</t>
  </si>
  <si>
    <t>983,3</t>
  </si>
  <si>
    <t>983,9</t>
  </si>
  <si>
    <t>984,3</t>
  </si>
  <si>
    <t>985,3</t>
  </si>
  <si>
    <t>986,1</t>
  </si>
  <si>
    <t>11,7</t>
  </si>
  <si>
    <t>64,1</t>
  </si>
  <si>
    <t>987,3</t>
  </si>
  <si>
    <t>111,5</t>
  </si>
  <si>
    <t>987,6</t>
  </si>
  <si>
    <t>103,6</t>
  </si>
  <si>
    <t>988,2</t>
  </si>
  <si>
    <t>56,2</t>
  </si>
  <si>
    <t>988,7</t>
  </si>
  <si>
    <t>6,7</t>
  </si>
  <si>
    <t>989,8</t>
  </si>
  <si>
    <t>990,3</t>
  </si>
  <si>
    <t>990,5</t>
  </si>
  <si>
    <t>991,3</t>
  </si>
  <si>
    <t>-5,4</t>
  </si>
  <si>
    <t>991,8</t>
  </si>
  <si>
    <t>992,1</t>
  </si>
  <si>
    <t>-5,7</t>
  </si>
  <si>
    <t>992,3</t>
  </si>
  <si>
    <t>992,9</t>
  </si>
  <si>
    <t>993,7</t>
  </si>
  <si>
    <t>-6,6</t>
  </si>
  <si>
    <t>994,1</t>
  </si>
  <si>
    <t>994,8</t>
  </si>
  <si>
    <t>995,4</t>
  </si>
  <si>
    <t>996,2</t>
  </si>
  <si>
    <t>996,9</t>
  </si>
  <si>
    <t>997,8</t>
  </si>
  <si>
    <t>14,8</t>
  </si>
  <si>
    <t>37,3</t>
  </si>
  <si>
    <t>999,2</t>
  </si>
  <si>
    <t>999,8</t>
  </si>
  <si>
    <t>43,6</t>
  </si>
  <si>
    <t>37,8</t>
  </si>
  <si>
    <t>5,9</t>
  </si>
  <si>
    <t>1001,7</t>
  </si>
  <si>
    <t>36,4</t>
  </si>
  <si>
    <t>1002,9</t>
  </si>
  <si>
    <t>6,2</t>
  </si>
  <si>
    <t>1006,3</t>
  </si>
  <si>
    <t>1007,1</t>
  </si>
  <si>
    <t>1007,8</t>
  </si>
  <si>
    <t>1008,7</t>
  </si>
  <si>
    <t>1009,4</t>
  </si>
  <si>
    <t>1010,1</t>
  </si>
  <si>
    <t>1010,5</t>
  </si>
  <si>
    <t>1013,9</t>
  </si>
  <si>
    <t>-6,1</t>
  </si>
  <si>
    <t>1016,4</t>
  </si>
  <si>
    <t>16,3</t>
  </si>
  <si>
    <t>-5,8</t>
  </si>
  <si>
    <t>71,4</t>
  </si>
  <si>
    <t>114,2</t>
  </si>
  <si>
    <t>1017,8</t>
  </si>
  <si>
    <t>112,4</t>
  </si>
  <si>
    <t>13,1</t>
  </si>
  <si>
    <t>-3,8</t>
  </si>
  <si>
    <t>1021,3</t>
  </si>
  <si>
    <t>1022,1</t>
  </si>
  <si>
    <t>-6,4</t>
  </si>
  <si>
    <t>-7,5</t>
  </si>
  <si>
    <t>-7,3</t>
  </si>
  <si>
    <t>1024,5</t>
  </si>
  <si>
    <t>1024,7</t>
  </si>
  <si>
    <t>1025,6</t>
  </si>
  <si>
    <t>-7,9</t>
  </si>
  <si>
    <t>-6,5</t>
  </si>
  <si>
    <t>1028,4</t>
  </si>
  <si>
    <t>12,1</t>
  </si>
  <si>
    <t>70,1</t>
  </si>
  <si>
    <t>118,9</t>
  </si>
  <si>
    <t>1029,1</t>
  </si>
  <si>
    <t>135,1</t>
  </si>
  <si>
    <t>115,6</t>
  </si>
  <si>
    <t>1029,3</t>
  </si>
  <si>
    <t>67,6</t>
  </si>
  <si>
    <t>1029,4</t>
  </si>
  <si>
    <t>12,8</t>
  </si>
  <si>
    <t>1029,7</t>
  </si>
  <si>
    <t>1030,2</t>
  </si>
  <si>
    <t>1030,7</t>
  </si>
  <si>
    <t>1031,1</t>
  </si>
  <si>
    <t>1031,2</t>
  </si>
  <si>
    <t>1030,9</t>
  </si>
  <si>
    <t>1030,6</t>
  </si>
  <si>
    <t>1030,3</t>
  </si>
  <si>
    <t>-4,7</t>
  </si>
  <si>
    <t>1029,8</t>
  </si>
  <si>
    <t>1029,6</t>
  </si>
  <si>
    <t>1029,5</t>
  </si>
  <si>
    <t>1029,9</t>
  </si>
  <si>
    <t>51,9</t>
  </si>
  <si>
    <t>48,3</t>
  </si>
  <si>
    <t>1028,8</t>
  </si>
  <si>
    <t>34,5</t>
  </si>
  <si>
    <t>8,3</t>
  </si>
  <si>
    <t>1028,6</t>
  </si>
  <si>
    <t>-3,5</t>
  </si>
  <si>
    <t>1028,9</t>
  </si>
  <si>
    <t>1027,7</t>
  </si>
  <si>
    <t>1027,5</t>
  </si>
  <si>
    <t>1027,6</t>
  </si>
  <si>
    <t>1027,4</t>
  </si>
  <si>
    <t>27,8</t>
  </si>
  <si>
    <t>1027,2</t>
  </si>
  <si>
    <t>50,5</t>
  </si>
  <si>
    <t>1026,7</t>
  </si>
  <si>
    <t>54,8</t>
  </si>
  <si>
    <t>49,5</t>
  </si>
  <si>
    <t>38,8</t>
  </si>
  <si>
    <t>1025,3</t>
  </si>
  <si>
    <t>12,2</t>
  </si>
  <si>
    <t>1025,4</t>
  </si>
  <si>
    <t>1025,2</t>
  </si>
  <si>
    <t>1024,9</t>
  </si>
  <si>
    <t>-1,4</t>
  </si>
  <si>
    <t>1023,5</t>
  </si>
  <si>
    <t>15,5</t>
  </si>
  <si>
    <t>16,6</t>
  </si>
  <si>
    <t>36,5</t>
  </si>
  <si>
    <t>40,4</t>
  </si>
  <si>
    <t>24,3</t>
  </si>
  <si>
    <t>1023,1</t>
  </si>
  <si>
    <t>1022,9</t>
  </si>
  <si>
    <t>1023,6</t>
  </si>
  <si>
    <t>35,7</t>
  </si>
  <si>
    <t>61,5</t>
  </si>
  <si>
    <t>73,5</t>
  </si>
  <si>
    <t>48,6</t>
  </si>
  <si>
    <t>19,9</t>
  </si>
  <si>
    <t>1025,1</t>
  </si>
  <si>
    <t>1026,6</t>
  </si>
  <si>
    <t>1027,3</t>
  </si>
  <si>
    <t>-0,5</t>
  </si>
  <si>
    <t>1027,9</t>
  </si>
  <si>
    <t>-0,3</t>
  </si>
  <si>
    <t>15,4</t>
  </si>
  <si>
    <t>41,4</t>
  </si>
  <si>
    <t>110,5</t>
  </si>
  <si>
    <t>146,5</t>
  </si>
  <si>
    <t>130,8</t>
  </si>
  <si>
    <t>74,2</t>
  </si>
  <si>
    <t>17,7</t>
  </si>
  <si>
    <t>1028,3</t>
  </si>
  <si>
    <t>1028,1</t>
  </si>
  <si>
    <t>1027,8</t>
  </si>
  <si>
    <t>19,8</t>
  </si>
  <si>
    <t>37,4</t>
  </si>
  <si>
    <t>39,8</t>
  </si>
  <si>
    <t>23,5</t>
  </si>
  <si>
    <t>14,2</t>
  </si>
  <si>
    <t>1020,6</t>
  </si>
  <si>
    <t>1020,5</t>
  </si>
  <si>
    <t>1020,2</t>
  </si>
  <si>
    <t>1019,8</t>
  </si>
  <si>
    <t>1019,3</t>
  </si>
  <si>
    <t>1018,8</t>
  </si>
  <si>
    <t>1018,1</t>
  </si>
  <si>
    <t>1017,7</t>
  </si>
  <si>
    <t>1017,3</t>
  </si>
  <si>
    <t>9,6</t>
  </si>
  <si>
    <t>1017,5</t>
  </si>
  <si>
    <t>28,9</t>
  </si>
  <si>
    <t>42,8</t>
  </si>
  <si>
    <t>58,4</t>
  </si>
  <si>
    <t>12,5</t>
  </si>
  <si>
    <t>1017,2</t>
  </si>
  <si>
    <t>1018,7</t>
  </si>
  <si>
    <t>1018,9</t>
  </si>
  <si>
    <t>1019,7</t>
  </si>
  <si>
    <t>1020,3</t>
  </si>
  <si>
    <t>1021,1</t>
  </si>
  <si>
    <t>1021,6</t>
  </si>
  <si>
    <t>1021,8</t>
  </si>
  <si>
    <t>-5,9</t>
  </si>
  <si>
    <t>29,6</t>
  </si>
  <si>
    <t>87,1</t>
  </si>
  <si>
    <t>127,6</t>
  </si>
  <si>
    <t>99,9</t>
  </si>
  <si>
    <t>72,7</t>
  </si>
  <si>
    <t>61,9</t>
  </si>
  <si>
    <t>17,9</t>
  </si>
  <si>
    <t>22,6</t>
  </si>
  <si>
    <t>66,9</t>
  </si>
  <si>
    <t>26,3</t>
  </si>
  <si>
    <t>1022,4</t>
  </si>
  <si>
    <t>1023,7</t>
  </si>
  <si>
    <t>28,3</t>
  </si>
  <si>
    <t>41,7</t>
  </si>
  <si>
    <t>69,1</t>
  </si>
  <si>
    <t>1025,9</t>
  </si>
  <si>
    <t>1025,8</t>
  </si>
  <si>
    <t>81,1</t>
  </si>
  <si>
    <t>32,7</t>
  </si>
  <si>
    <t>1026,1</t>
  </si>
  <si>
    <t>10,8</t>
  </si>
  <si>
    <t>14,5</t>
  </si>
  <si>
    <t>1024,2</t>
  </si>
  <si>
    <t>9,1</t>
  </si>
  <si>
    <t>13,4</t>
  </si>
  <si>
    <t>55,8</t>
  </si>
  <si>
    <t>66,6</t>
  </si>
  <si>
    <t>25,9</t>
  </si>
  <si>
    <t>18,5</t>
  </si>
  <si>
    <t>1018,6</t>
  </si>
  <si>
    <t>1018,2</t>
  </si>
  <si>
    <t>1015,9</t>
  </si>
  <si>
    <t>1014,1</t>
  </si>
  <si>
    <t>30,4</t>
  </si>
  <si>
    <t>1009,7</t>
  </si>
  <si>
    <t>12,9</t>
  </si>
  <si>
    <t>1008,6</t>
  </si>
  <si>
    <t>1008,1</t>
  </si>
  <si>
    <t>1007,5</t>
  </si>
  <si>
    <t>1006,2</t>
  </si>
  <si>
    <t>1006,4</t>
  </si>
  <si>
    <t>1006,8</t>
  </si>
  <si>
    <t>1009,2</t>
  </si>
  <si>
    <t>34,2</t>
  </si>
  <si>
    <t>1014,8</t>
  </si>
  <si>
    <t>50,9</t>
  </si>
  <si>
    <t>1015,5</t>
  </si>
  <si>
    <t>56,9</t>
  </si>
  <si>
    <t>1016,2</t>
  </si>
  <si>
    <t>39,9</t>
  </si>
  <si>
    <t>21,2</t>
  </si>
  <si>
    <t>1021,7</t>
  </si>
  <si>
    <t>34,3</t>
  </si>
  <si>
    <t>81,4</t>
  </si>
  <si>
    <t>85,2</t>
  </si>
  <si>
    <t>70,3</t>
  </si>
  <si>
    <t>45,2</t>
  </si>
  <si>
    <t>Hour</t>
  </si>
  <si>
    <t>Day</t>
  </si>
  <si>
    <t>Month</t>
  </si>
  <si>
    <t>Day of Week</t>
  </si>
  <si>
    <t>Weekend</t>
  </si>
  <si>
    <t>Lag_24h</t>
  </si>
  <si>
    <t>Rolling_24h</t>
  </si>
  <si>
    <t>Eff_Index</t>
  </si>
  <si>
    <t>Datetime</t>
  </si>
  <si>
    <t>Actual_Production</t>
  </si>
  <si>
    <t>Forecast_Persistence</t>
  </si>
  <si>
    <t>Error</t>
  </si>
  <si>
    <t>ABS_Error</t>
  </si>
  <si>
    <t>Error^2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</si>
</sst>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 H:mm:ss"/>
    <numFmt numFmtId="165" formatCode="#,##0.0"/>
    <numFmt numFmtId="166" formatCode="0.000"/>
    <numFmt numFmtId="167" formatCode="M/d/yyyy H:mm:ss"/>
  </numFmts>
  <fonts count="5">
    <font>
      <sz val="11.0"/>
      <color theme="1"/>
      <name val="Calibri"/>
      <scheme val="minor"/>
    </font>
    <font>
      <sz val="10.0"/>
      <color rgb="FF000000"/>
      <name val="&quot;Times New Roman&quot;"/>
    </font>
    <font>
      <sz val="10.0"/>
      <color theme="1"/>
      <name val="Times New Roman"/>
    </font>
    <font>
      <sz val="10.0"/>
      <color theme="1"/>
      <name val="Calibri"/>
      <scheme val="minor"/>
    </font>
    <font>
      <b/>
      <sz val="10.0"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3" xfId="0" applyAlignment="1" applyFont="1" applyNumberForma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2" numFmtId="166" xfId="0" applyAlignment="1" applyBorder="1" applyFont="1" applyNumberFormat="1">
      <alignment horizontal="center" shrinkToFit="0" vertical="center" wrapText="1"/>
    </xf>
    <xf borderId="1" fillId="0" fontId="2" numFmtId="3" xfId="0" applyAlignment="1" applyBorder="1" applyFont="1" applyNumberFormat="1">
      <alignment horizontal="center" shrinkToFit="0" vertical="center" wrapText="1"/>
    </xf>
    <xf borderId="1" fillId="0" fontId="2" numFmtId="165" xfId="0" applyAlignment="1" applyBorder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horizontal="center" readingOrder="0" shrinkToFit="0" vertical="center" wrapText="1"/>
    </xf>
    <xf borderId="1" fillId="0" fontId="3" numFmtId="166" xfId="0" applyAlignment="1" applyBorder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1" numFmtId="167" xfId="0" applyAlignment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3" xfId="0" applyAlignment="1" applyFont="1" applyNumberFormat="1">
      <alignment horizontal="center" shrinkToFit="0" vertical="center" wrapText="1"/>
    </xf>
    <xf borderId="0" fillId="0" fontId="2" numFmtId="165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7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581025</xdr:colOff>
      <xdr:row>18</xdr:row>
      <xdr:rowOff>161925</xdr:rowOff>
    </xdr:from>
    <xdr:ext cx="6010275" cy="4457700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600075</xdr:colOff>
      <xdr:row>21</xdr:row>
      <xdr:rowOff>-180975</xdr:rowOff>
    </xdr:from>
    <xdr:ext cx="6143625" cy="430530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581025</xdr:colOff>
      <xdr:row>46</xdr:row>
      <xdr:rowOff>161925</xdr:rowOff>
    </xdr:from>
    <xdr:ext cx="6010275" cy="3857625"/>
    <xdr:pic>
      <xdr:nvPicPr>
        <xdr:cNvPr id="0" name="image4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485775</xdr:colOff>
      <xdr:row>46</xdr:row>
      <xdr:rowOff>161925</xdr:rowOff>
    </xdr:from>
    <xdr:ext cx="5838825" cy="6096000"/>
    <xdr:pic>
      <xdr:nvPicPr>
        <xdr:cNvPr id="0" name="image3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12.14"/>
    <col customWidth="1" min="3" max="3" width="13.43"/>
    <col customWidth="1" min="4" max="4" width="13.71"/>
    <col customWidth="1" min="5" max="5" width="21.86"/>
    <col customWidth="1" min="6" max="6" width="19.14"/>
    <col customWidth="1" min="7" max="7" width="23.0"/>
    <col customWidth="1" min="8" max="8" width="22.29"/>
    <col customWidth="1" min="9" max="9" width="8.71"/>
    <col customWidth="1" min="10" max="11" width="20.0"/>
    <col customWidth="1" min="12" max="12" width="16.86"/>
    <col customWidth="1" min="13" max="13" width="14.43"/>
    <col customWidth="1" min="14" max="14" width="14.86"/>
    <col customWidth="1" min="15" max="15" width="16.86"/>
    <col customWidth="1" min="16" max="16" width="20.0"/>
    <col customWidth="1" min="17" max="17" width="17.0"/>
    <col customWidth="1" min="18" max="25" width="8.71"/>
  </cols>
  <sheetData>
    <row r="1" ht="13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/>
      <c r="J1" s="5"/>
      <c r="K1" s="5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3.5" customHeight="1">
      <c r="A2" s="1">
        <v>42736.0</v>
      </c>
      <c r="B2" s="2" t="s">
        <v>8</v>
      </c>
      <c r="C2" s="2">
        <v>0.0</v>
      </c>
      <c r="D2" s="3" t="s">
        <v>9</v>
      </c>
      <c r="E2" s="2">
        <v>0.0</v>
      </c>
      <c r="F2" s="2" t="s">
        <v>10</v>
      </c>
      <c r="G2" s="2">
        <v>97.0</v>
      </c>
      <c r="H2" s="2">
        <v>0.0</v>
      </c>
      <c r="I2" s="4"/>
      <c r="J2" s="6" t="s">
        <v>11</v>
      </c>
      <c r="K2" s="7">
        <f>COUNTBLANK(B2:H745)</f>
        <v>0</v>
      </c>
      <c r="L2" s="8"/>
      <c r="M2" s="8"/>
      <c r="N2" s="8"/>
      <c r="O2" s="8"/>
      <c r="P2" s="8"/>
      <c r="Q2" s="8"/>
      <c r="R2" s="4"/>
      <c r="S2" s="4"/>
      <c r="T2" s="4"/>
      <c r="U2" s="4"/>
      <c r="V2" s="4"/>
      <c r="W2" s="4"/>
      <c r="X2" s="4"/>
      <c r="Y2" s="4"/>
    </row>
    <row r="3" ht="13.5" customHeight="1">
      <c r="A3" s="1">
        <v>42736.041666666664</v>
      </c>
      <c r="B3" s="2" t="s">
        <v>12</v>
      </c>
      <c r="C3" s="2">
        <v>0.0</v>
      </c>
      <c r="D3" s="3" t="s">
        <v>13</v>
      </c>
      <c r="E3" s="2">
        <v>0.0</v>
      </c>
      <c r="F3" s="2" t="s">
        <v>14</v>
      </c>
      <c r="G3" s="2">
        <v>98.0</v>
      </c>
      <c r="H3" s="2">
        <v>0.0</v>
      </c>
      <c r="I3" s="4"/>
      <c r="J3" s="8"/>
      <c r="K3" s="8"/>
      <c r="L3" s="8"/>
      <c r="M3" s="8"/>
      <c r="N3" s="8"/>
      <c r="O3" s="8"/>
      <c r="P3" s="8"/>
      <c r="Q3" s="8"/>
      <c r="R3" s="4"/>
      <c r="S3" s="4"/>
      <c r="T3" s="4"/>
      <c r="U3" s="4"/>
      <c r="V3" s="4"/>
      <c r="W3" s="4"/>
      <c r="X3" s="4"/>
      <c r="Y3" s="4"/>
    </row>
    <row r="4" ht="13.5" customHeight="1">
      <c r="A4" s="1">
        <v>42736.083333333336</v>
      </c>
      <c r="B4" s="2" t="s">
        <v>8</v>
      </c>
      <c r="C4" s="2">
        <v>0.0</v>
      </c>
      <c r="D4" s="3" t="s">
        <v>15</v>
      </c>
      <c r="E4" s="2">
        <v>0.0</v>
      </c>
      <c r="F4" s="2" t="s">
        <v>16</v>
      </c>
      <c r="G4" s="2">
        <v>99.0</v>
      </c>
      <c r="H4" s="2">
        <v>0.0</v>
      </c>
      <c r="I4" s="4"/>
      <c r="J4" s="9"/>
      <c r="K4" s="7" t="s">
        <v>1</v>
      </c>
      <c r="L4" s="7" t="s">
        <v>2</v>
      </c>
      <c r="M4" s="7" t="s">
        <v>3</v>
      </c>
      <c r="N4" s="7" t="s">
        <v>4</v>
      </c>
      <c r="O4" s="7" t="s">
        <v>5</v>
      </c>
      <c r="P4" s="7" t="s">
        <v>6</v>
      </c>
      <c r="Q4" s="7" t="s">
        <v>7</v>
      </c>
      <c r="R4" s="4"/>
      <c r="S4" s="4"/>
      <c r="T4" s="4"/>
      <c r="U4" s="4"/>
      <c r="V4" s="4"/>
      <c r="W4" s="4"/>
      <c r="X4" s="4"/>
      <c r="Y4" s="4"/>
    </row>
    <row r="5" ht="13.5" customHeight="1">
      <c r="A5" s="1">
        <v>42736.125</v>
      </c>
      <c r="B5" s="2" t="s">
        <v>17</v>
      </c>
      <c r="C5" s="2">
        <v>0.0</v>
      </c>
      <c r="D5" s="3" t="s">
        <v>18</v>
      </c>
      <c r="E5" s="2">
        <v>0.0</v>
      </c>
      <c r="F5" s="2" t="s">
        <v>19</v>
      </c>
      <c r="G5" s="2">
        <v>99.0</v>
      </c>
      <c r="H5" s="2">
        <v>0.0</v>
      </c>
      <c r="I5" s="4"/>
      <c r="J5" s="6" t="s">
        <v>20</v>
      </c>
      <c r="K5" s="10">
        <f t="shared" ref="K5:Q5" si="1">AVERAGE(B2:B745)</f>
        <v>1.918032787</v>
      </c>
      <c r="L5" s="10">
        <f t="shared" si="1"/>
        <v>3.887096774</v>
      </c>
      <c r="M5" s="10">
        <f t="shared" si="1"/>
        <v>1017.714286</v>
      </c>
      <c r="N5" s="10">
        <f t="shared" si="1"/>
        <v>1.949300699</v>
      </c>
      <c r="O5" s="10">
        <f t="shared" si="1"/>
        <v>-2.07</v>
      </c>
      <c r="P5" s="10">
        <f t="shared" si="1"/>
        <v>86.91935484</v>
      </c>
      <c r="Q5" s="10">
        <f t="shared" si="1"/>
        <v>515351.9657</v>
      </c>
      <c r="R5" s="4"/>
      <c r="S5" s="4"/>
      <c r="T5" s="4"/>
      <c r="U5" s="4"/>
      <c r="V5" s="4"/>
      <c r="W5" s="4"/>
      <c r="X5" s="4"/>
      <c r="Y5" s="4"/>
    </row>
    <row r="6" ht="13.5" customHeight="1">
      <c r="A6" s="1">
        <v>42736.166666666664</v>
      </c>
      <c r="B6" s="2">
        <v>4.0</v>
      </c>
      <c r="C6" s="2">
        <v>0.0</v>
      </c>
      <c r="D6" s="3" t="s">
        <v>21</v>
      </c>
      <c r="E6" s="2">
        <v>0.0</v>
      </c>
      <c r="F6" s="2" t="s">
        <v>22</v>
      </c>
      <c r="G6" s="2">
        <v>67.0</v>
      </c>
      <c r="H6" s="2">
        <v>0.0</v>
      </c>
      <c r="I6" s="4"/>
      <c r="J6" s="6" t="s">
        <v>23</v>
      </c>
      <c r="K6" s="11">
        <f t="shared" ref="K6:Q6" si="2">MEDIAN(B2:B745)</f>
        <v>1</v>
      </c>
      <c r="L6" s="11">
        <f t="shared" si="2"/>
        <v>0</v>
      </c>
      <c r="M6" s="12">
        <f t="shared" si="2"/>
        <v>1023</v>
      </c>
      <c r="N6" s="11">
        <f t="shared" si="2"/>
        <v>0</v>
      </c>
      <c r="O6" s="11">
        <f t="shared" si="2"/>
        <v>-2</v>
      </c>
      <c r="P6" s="11">
        <f t="shared" si="2"/>
        <v>91</v>
      </c>
      <c r="Q6" s="11">
        <f t="shared" si="2"/>
        <v>0</v>
      </c>
      <c r="R6" s="4"/>
      <c r="S6" s="4"/>
      <c r="T6" s="4"/>
      <c r="U6" s="4"/>
      <c r="V6" s="4"/>
      <c r="W6" s="4"/>
      <c r="X6" s="4"/>
      <c r="Y6" s="4"/>
    </row>
    <row r="7" ht="13.5" customHeight="1">
      <c r="A7" s="1">
        <v>42736.208333333336</v>
      </c>
      <c r="B7" s="2" t="s">
        <v>24</v>
      </c>
      <c r="C7" s="2">
        <v>0.0</v>
      </c>
      <c r="D7" s="3" t="s">
        <v>21</v>
      </c>
      <c r="E7" s="2">
        <v>0.0</v>
      </c>
      <c r="F7" s="2" t="s">
        <v>25</v>
      </c>
      <c r="G7" s="2">
        <v>74.0</v>
      </c>
      <c r="H7" s="2">
        <v>0.0</v>
      </c>
      <c r="I7" s="4"/>
      <c r="J7" s="6" t="s">
        <v>26</v>
      </c>
      <c r="K7" s="10">
        <f t="shared" ref="K7:Q7" si="3">STDEV(B2:B745)</f>
        <v>1.268793153</v>
      </c>
      <c r="L7" s="10">
        <f t="shared" si="3"/>
        <v>13.39474778</v>
      </c>
      <c r="M7" s="10">
        <f t="shared" si="3"/>
        <v>16.39180418</v>
      </c>
      <c r="N7" s="10">
        <f t="shared" si="3"/>
        <v>11.65901482</v>
      </c>
      <c r="O7" s="10">
        <f t="shared" si="3"/>
        <v>3.055893462</v>
      </c>
      <c r="P7" s="10">
        <f t="shared" si="3"/>
        <v>12.53072462</v>
      </c>
      <c r="Q7" s="10">
        <f t="shared" si="3"/>
        <v>1929899.256</v>
      </c>
      <c r="R7" s="4"/>
      <c r="S7" s="4"/>
      <c r="T7" s="4"/>
      <c r="U7" s="4"/>
      <c r="V7" s="4"/>
      <c r="W7" s="4"/>
      <c r="X7" s="4"/>
      <c r="Y7" s="4"/>
    </row>
    <row r="8" ht="13.5" customHeight="1">
      <c r="A8" s="1">
        <v>42736.25</v>
      </c>
      <c r="B8" s="2" t="s">
        <v>24</v>
      </c>
      <c r="C8" s="2">
        <v>0.0</v>
      </c>
      <c r="D8" s="3" t="s">
        <v>27</v>
      </c>
      <c r="E8" s="2">
        <v>0.0</v>
      </c>
      <c r="F8" s="2" t="s">
        <v>28</v>
      </c>
      <c r="G8" s="2">
        <v>79.0</v>
      </c>
      <c r="H8" s="2">
        <v>0.0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3.5" customHeight="1">
      <c r="A9" s="1">
        <v>42736.291666666664</v>
      </c>
      <c r="B9" s="2" t="s">
        <v>29</v>
      </c>
      <c r="C9" s="2">
        <v>0.0</v>
      </c>
      <c r="D9" s="3" t="s">
        <v>30</v>
      </c>
      <c r="E9" s="2">
        <v>0.0</v>
      </c>
      <c r="F9" s="2" t="s">
        <v>31</v>
      </c>
      <c r="G9" s="2">
        <v>81.0</v>
      </c>
      <c r="H9" s="2">
        <v>0.0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3.5" customHeight="1">
      <c r="A10" s="1">
        <v>42736.333333333336</v>
      </c>
      <c r="B10" s="2" t="s">
        <v>8</v>
      </c>
      <c r="C10" s="2">
        <v>0.0</v>
      </c>
      <c r="D10" s="3" t="s">
        <v>32</v>
      </c>
      <c r="E10" s="2">
        <v>0.0</v>
      </c>
      <c r="F10" s="2">
        <v>-1.0</v>
      </c>
      <c r="G10" s="2">
        <v>77.0</v>
      </c>
      <c r="H10" s="2">
        <v>0.0</v>
      </c>
      <c r="I10" s="4"/>
      <c r="J10" s="6" t="s">
        <v>33</v>
      </c>
      <c r="K10" s="7" t="s">
        <v>1</v>
      </c>
      <c r="L10" s="7" t="s">
        <v>2</v>
      </c>
      <c r="M10" s="7" t="s">
        <v>3</v>
      </c>
      <c r="N10" s="7" t="s">
        <v>4</v>
      </c>
      <c r="O10" s="7" t="s">
        <v>5</v>
      </c>
      <c r="P10" s="7" t="s">
        <v>6</v>
      </c>
      <c r="Q10" s="7" t="s">
        <v>7</v>
      </c>
      <c r="R10" s="4"/>
      <c r="S10" s="4"/>
      <c r="T10" s="4"/>
      <c r="U10" s="4"/>
      <c r="V10" s="4"/>
      <c r="W10" s="4"/>
      <c r="X10" s="4"/>
      <c r="Y10" s="4"/>
    </row>
    <row r="11" ht="13.5" customHeight="1">
      <c r="A11" s="1">
        <v>42736.375</v>
      </c>
      <c r="B11" s="2" t="s">
        <v>8</v>
      </c>
      <c r="C11" s="2">
        <v>0.0</v>
      </c>
      <c r="D11" s="3" t="s">
        <v>34</v>
      </c>
      <c r="E11" s="2">
        <v>0.0</v>
      </c>
      <c r="F11" s="2">
        <v>-2.0</v>
      </c>
      <c r="G11" s="2">
        <v>81.0</v>
      </c>
      <c r="H11" s="2">
        <v>0.0</v>
      </c>
      <c r="I11" s="4"/>
      <c r="J11" s="7" t="s">
        <v>1</v>
      </c>
      <c r="K11" s="13">
        <v>1.0</v>
      </c>
      <c r="L11" s="10">
        <f>CORREL(B2:B745,C2:C745)</f>
        <v>-0.06787124276</v>
      </c>
      <c r="M11" s="10">
        <f>CORREL(B2:B745,D2:D745)</f>
        <v>-0.9893227776</v>
      </c>
      <c r="N11" s="10">
        <f>CORREL(B2:B745,E2:E745)</f>
        <v>0.1405987795</v>
      </c>
      <c r="O11" s="10">
        <f>CORREL(B2:B745,F2:F745)</f>
        <v>0.3346853054</v>
      </c>
      <c r="P11" s="10">
        <f>CORREL(B2:B745,G2:G745)</f>
        <v>-0.2344678304</v>
      </c>
      <c r="Q11" s="10">
        <f>CORREL(B2:B745,H2:H745)</f>
        <v>-0.1894533546</v>
      </c>
      <c r="R11" s="4"/>
      <c r="S11" s="4"/>
      <c r="T11" s="4"/>
      <c r="U11" s="4"/>
      <c r="V11" s="4"/>
      <c r="W11" s="4"/>
      <c r="X11" s="4"/>
      <c r="Y11" s="4"/>
    </row>
    <row r="12" ht="13.5" customHeight="1">
      <c r="A12" s="1">
        <v>42736.416666666664</v>
      </c>
      <c r="B12" s="2" t="s">
        <v>28</v>
      </c>
      <c r="C12" s="2">
        <v>0.0</v>
      </c>
      <c r="D12" s="3" t="s">
        <v>35</v>
      </c>
      <c r="E12" s="2">
        <v>0.0</v>
      </c>
      <c r="F12" s="2" t="s">
        <v>36</v>
      </c>
      <c r="G12" s="2">
        <v>80.0</v>
      </c>
      <c r="H12" s="2">
        <v>0.0</v>
      </c>
      <c r="I12" s="4"/>
      <c r="J12" s="7" t="s">
        <v>2</v>
      </c>
      <c r="K12" s="14">
        <f>CORREL(B2:B745,C2:C745)</f>
        <v>-0.06787124276</v>
      </c>
      <c r="L12" s="15">
        <v>1.0</v>
      </c>
      <c r="M12" s="10">
        <f>CORREL(C2:C745,D2:D745)</f>
        <v>-0.1011195576</v>
      </c>
      <c r="N12" s="10">
        <f>CORREL(C2:C745,E2:E745)</f>
        <v>0.7496454977</v>
      </c>
      <c r="O12" s="10">
        <f>CORREL(C2:C745,F2:F745)</f>
        <v>0.1685874226</v>
      </c>
      <c r="P12" s="10">
        <f>CORREL(C2:C745,G2:G745)</f>
        <v>-0.3689275795</v>
      </c>
      <c r="Q12" s="10">
        <f>CORREL(C2:C745,H2:H745)</f>
        <v>0.3616909114</v>
      </c>
      <c r="R12" s="4"/>
      <c r="S12" s="4"/>
      <c r="T12" s="4"/>
      <c r="U12" s="4"/>
      <c r="V12" s="4"/>
      <c r="W12" s="4"/>
      <c r="X12" s="4"/>
      <c r="Y12" s="4"/>
    </row>
    <row r="13" ht="13.5" customHeight="1">
      <c r="A13" s="1">
        <v>42736.458333333336</v>
      </c>
      <c r="B13" s="2" t="s">
        <v>37</v>
      </c>
      <c r="C13" s="2">
        <v>46.0</v>
      </c>
      <c r="D13" s="3" t="s">
        <v>38</v>
      </c>
      <c r="E13" s="2" t="s">
        <v>39</v>
      </c>
      <c r="F13" s="2" t="s">
        <v>14</v>
      </c>
      <c r="G13" s="2">
        <v>74.0</v>
      </c>
      <c r="H13" s="2">
        <v>2158333.0</v>
      </c>
      <c r="I13" s="4"/>
      <c r="J13" s="7" t="s">
        <v>3</v>
      </c>
      <c r="K13" s="14">
        <f>CORREL(B2:B745,D2:D745)</f>
        <v>-0.9893227776</v>
      </c>
      <c r="L13" s="10">
        <f>CORREL(C2:C745,D2:D745)</f>
        <v>-0.1011195576</v>
      </c>
      <c r="M13" s="13">
        <v>1.0</v>
      </c>
      <c r="N13" s="10">
        <f>CORREL(D2:D745,E2:E745)</f>
        <v>0.01974079168</v>
      </c>
      <c r="O13" s="10">
        <f>CORREL(D2:D745,F2:F745)</f>
        <v>-0.4778222481</v>
      </c>
      <c r="P13" s="10">
        <f>CORREL(D2:D745,G2:G745)</f>
        <v>0.1469344821</v>
      </c>
      <c r="Q13" s="10">
        <f>CORREL(D2:D745,H2:H745)</f>
        <v>0.1004095888</v>
      </c>
      <c r="R13" s="4"/>
      <c r="S13" s="4"/>
      <c r="T13" s="4"/>
      <c r="U13" s="4"/>
      <c r="V13" s="4"/>
      <c r="W13" s="4"/>
      <c r="X13" s="4"/>
      <c r="Y13" s="4"/>
    </row>
    <row r="14" ht="13.5" customHeight="1">
      <c r="A14" s="1">
        <v>42736.5</v>
      </c>
      <c r="B14" s="2" t="s">
        <v>40</v>
      </c>
      <c r="C14" s="2">
        <v>60.0</v>
      </c>
      <c r="D14" s="3" t="s">
        <v>41</v>
      </c>
      <c r="E14" s="2" t="s">
        <v>42</v>
      </c>
      <c r="F14" s="2" t="s">
        <v>43</v>
      </c>
      <c r="G14" s="2">
        <v>72.0</v>
      </c>
      <c r="H14" s="2">
        <v>8316667.0</v>
      </c>
      <c r="I14" s="4"/>
      <c r="J14" s="7" t="s">
        <v>4</v>
      </c>
      <c r="K14" s="14">
        <f>CORREL(B2:B745,E2:E745)</f>
        <v>0.1405987795</v>
      </c>
      <c r="L14" s="10">
        <f>CORREL(C2:C745,E2:E745)</f>
        <v>0.7496454977</v>
      </c>
      <c r="M14" s="10">
        <f>CORREL(D2:D745,E2:E745)</f>
        <v>0.01974079168</v>
      </c>
      <c r="N14" s="13">
        <v>1.0</v>
      </c>
      <c r="O14" s="10">
        <f>CORREL(E2:E745,F2:F745)</f>
        <v>0.2544400215</v>
      </c>
      <c r="P14" s="10">
        <f>CORREL(E2:E745,G2:G745)</f>
        <v>-0.1889991825</v>
      </c>
      <c r="Q14" s="10">
        <f>CORREL(E2:E745,H2:H745)</f>
        <v>0.5886938453</v>
      </c>
      <c r="R14" s="4"/>
      <c r="S14" s="4"/>
      <c r="T14" s="4"/>
      <c r="U14" s="4"/>
      <c r="V14" s="4"/>
      <c r="W14" s="4"/>
      <c r="X14" s="4"/>
      <c r="Y14" s="4"/>
    </row>
    <row r="15" ht="13.5" customHeight="1">
      <c r="A15" s="1">
        <v>42736.541666666664</v>
      </c>
      <c r="B15" s="2" t="s">
        <v>28</v>
      </c>
      <c r="C15" s="2">
        <v>59.0</v>
      </c>
      <c r="D15" s="3" t="s">
        <v>41</v>
      </c>
      <c r="E15" s="2" t="s">
        <v>44</v>
      </c>
      <c r="F15" s="2" t="s">
        <v>45</v>
      </c>
      <c r="G15" s="2">
        <v>66.0</v>
      </c>
      <c r="H15" s="2">
        <v>349.5</v>
      </c>
      <c r="I15" s="4"/>
      <c r="J15" s="7" t="s">
        <v>5</v>
      </c>
      <c r="K15" s="14">
        <f>CORREL(B2:B745,F2:F745)</f>
        <v>0.3346853054</v>
      </c>
      <c r="L15" s="10">
        <f>CORREL(C2:C745,F2:F745)</f>
        <v>0.1685874226</v>
      </c>
      <c r="M15" s="10">
        <f>CORREL(D2:D745,F2:F745)</f>
        <v>-0.4778222481</v>
      </c>
      <c r="N15" s="10">
        <f>CORREL(E2:E745,F2:F745)</f>
        <v>0.2544400215</v>
      </c>
      <c r="O15" s="13">
        <v>1.0</v>
      </c>
      <c r="P15" s="10">
        <f>CORREL(F2:F745,G2:G745)</f>
        <v>0.131364851</v>
      </c>
      <c r="Q15" s="10">
        <f>CORREL(F2:F745,H2:H745)</f>
        <v>0.05450356208</v>
      </c>
      <c r="R15" s="4"/>
      <c r="S15" s="4"/>
      <c r="T15" s="4"/>
      <c r="U15" s="4"/>
      <c r="V15" s="4"/>
      <c r="W15" s="4"/>
      <c r="X15" s="4"/>
      <c r="Y15" s="4"/>
    </row>
    <row r="16" ht="13.5" customHeight="1">
      <c r="A16" s="1">
        <v>42736.583333333336</v>
      </c>
      <c r="B16" s="2">
        <v>4.0</v>
      </c>
      <c r="C16" s="2">
        <v>55.0</v>
      </c>
      <c r="D16" s="3" t="s">
        <v>46</v>
      </c>
      <c r="E16" s="2">
        <v>77.0</v>
      </c>
      <c r="F16" s="2">
        <v>5.0</v>
      </c>
      <c r="G16" s="2">
        <v>49.0</v>
      </c>
      <c r="H16" s="2">
        <v>272.0</v>
      </c>
      <c r="I16" s="4"/>
      <c r="J16" s="7" t="s">
        <v>6</v>
      </c>
      <c r="K16" s="14">
        <f>CORREL(B2:B745,G2:G745)</f>
        <v>-0.2344678304</v>
      </c>
      <c r="L16" s="10">
        <f>CORREL(C2:C745,G2:G745)</f>
        <v>-0.3689275795</v>
      </c>
      <c r="M16" s="10">
        <f>CORREL(D2:D745,G2:G745)</f>
        <v>0.1469344821</v>
      </c>
      <c r="N16" s="10">
        <f>CORREL(E2:E745,G2:G745)</f>
        <v>-0.1889991825</v>
      </c>
      <c r="O16" s="10">
        <f>CORREL(F2:F745,G2:G745)</f>
        <v>0.131364851</v>
      </c>
      <c r="P16" s="13">
        <v>1.0</v>
      </c>
      <c r="Q16" s="10">
        <f>CORREL(G2:G745,H2:H745)</f>
        <v>-0.0501138545</v>
      </c>
      <c r="R16" s="4"/>
      <c r="S16" s="4"/>
      <c r="T16" s="4"/>
      <c r="U16" s="4"/>
      <c r="V16" s="4"/>
      <c r="W16" s="4"/>
      <c r="X16" s="4"/>
      <c r="Y16" s="4"/>
    </row>
    <row r="17" ht="13.5" customHeight="1">
      <c r="A17" s="1">
        <v>42736.625</v>
      </c>
      <c r="B17" s="2" t="s">
        <v>45</v>
      </c>
      <c r="C17" s="2">
        <v>26.0</v>
      </c>
      <c r="D17" s="3" t="s">
        <v>47</v>
      </c>
      <c r="E17" s="2" t="s">
        <v>48</v>
      </c>
      <c r="F17" s="2" t="s">
        <v>49</v>
      </c>
      <c r="G17" s="2">
        <v>48.0</v>
      </c>
      <c r="H17" s="2">
        <v>1302083.0</v>
      </c>
      <c r="I17" s="4"/>
      <c r="J17" s="7" t="s">
        <v>7</v>
      </c>
      <c r="K17" s="14">
        <f>CORREL(B2:B745,H2:H745)</f>
        <v>-0.1894533546</v>
      </c>
      <c r="L17" s="10">
        <f>CORREL(C2:C745,H2:H745)</f>
        <v>0.3616909114</v>
      </c>
      <c r="M17" s="10">
        <f>CORREL(D2:D745,H2:H745)</f>
        <v>0.1004095888</v>
      </c>
      <c r="N17" s="10">
        <f>CORREL(E2:E745,H2:H745)</f>
        <v>0.5886938453</v>
      </c>
      <c r="O17" s="10">
        <f>CORREL(F2:F745,H2:H745)</f>
        <v>0.05450356208</v>
      </c>
      <c r="P17" s="10">
        <f>CORREL(G2:G745,H2:H745)</f>
        <v>-0.0501138545</v>
      </c>
      <c r="Q17" s="13">
        <v>1.0</v>
      </c>
      <c r="R17" s="4"/>
      <c r="S17" s="4"/>
      <c r="T17" s="4"/>
      <c r="U17" s="4"/>
      <c r="V17" s="4"/>
      <c r="W17" s="4"/>
      <c r="X17" s="4"/>
      <c r="Y17" s="4"/>
    </row>
    <row r="18" ht="13.5" customHeight="1">
      <c r="A18" s="1">
        <v>42736.666666666664</v>
      </c>
      <c r="B18" s="2" t="s">
        <v>50</v>
      </c>
      <c r="C18" s="2">
        <v>16.0</v>
      </c>
      <c r="D18" s="3" t="s">
        <v>51</v>
      </c>
      <c r="E18" s="2">
        <v>0.0</v>
      </c>
      <c r="F18" s="2" t="s">
        <v>52</v>
      </c>
      <c r="G18" s="2">
        <v>49.0</v>
      </c>
      <c r="H18" s="2">
        <v>0.0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3.5" customHeight="1">
      <c r="A19" s="1">
        <v>42736.708333333336</v>
      </c>
      <c r="B19" s="2" t="s">
        <v>52</v>
      </c>
      <c r="C19" s="2">
        <v>0.0</v>
      </c>
      <c r="D19" s="3" t="s">
        <v>53</v>
      </c>
      <c r="E19" s="2">
        <v>0.0</v>
      </c>
      <c r="F19" s="2" t="s">
        <v>54</v>
      </c>
      <c r="G19" s="2">
        <v>50.0</v>
      </c>
      <c r="H19" s="2">
        <v>0.0</v>
      </c>
      <c r="I19" s="4"/>
      <c r="J19" s="1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3.5" customHeight="1">
      <c r="A20" s="1">
        <v>42736.75</v>
      </c>
      <c r="B20" s="2" t="s">
        <v>55</v>
      </c>
      <c r="C20" s="2">
        <v>0.0</v>
      </c>
      <c r="D20" s="3">
        <v>1010.0</v>
      </c>
      <c r="E20" s="2">
        <v>0.0</v>
      </c>
      <c r="F20" s="2" t="s">
        <v>54</v>
      </c>
      <c r="G20" s="2">
        <v>48.0</v>
      </c>
      <c r="H20" s="2">
        <v>0.0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3.5" customHeight="1">
      <c r="A21" s="1">
        <v>42736.791666666664</v>
      </c>
      <c r="B21" s="2" t="s">
        <v>56</v>
      </c>
      <c r="C21" s="2">
        <v>0.0</v>
      </c>
      <c r="D21" s="3" t="s">
        <v>57</v>
      </c>
      <c r="E21" s="2">
        <v>0.0</v>
      </c>
      <c r="F21" s="2" t="s">
        <v>58</v>
      </c>
      <c r="G21" s="2">
        <v>48.0</v>
      </c>
      <c r="H21" s="2">
        <v>0.0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3.5" customHeight="1">
      <c r="A22" s="1">
        <v>42736.833333333336</v>
      </c>
      <c r="B22" s="2" t="s">
        <v>49</v>
      </c>
      <c r="C22" s="2">
        <v>0.0</v>
      </c>
      <c r="D22" s="3" t="s">
        <v>59</v>
      </c>
      <c r="E22" s="2">
        <v>0.0</v>
      </c>
      <c r="F22" s="2" t="s">
        <v>60</v>
      </c>
      <c r="G22" s="2">
        <v>47.0</v>
      </c>
      <c r="H22" s="2">
        <v>0.0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3.5" customHeight="1">
      <c r="A23" s="1">
        <v>42736.875</v>
      </c>
      <c r="B23" s="2" t="s">
        <v>61</v>
      </c>
      <c r="C23" s="2">
        <v>0.0</v>
      </c>
      <c r="D23" s="3" t="s">
        <v>62</v>
      </c>
      <c r="E23" s="2">
        <v>0.0</v>
      </c>
      <c r="F23" s="2" t="s">
        <v>25</v>
      </c>
      <c r="G23" s="2">
        <v>48.0</v>
      </c>
      <c r="H23" s="2">
        <v>0.0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3.5" customHeight="1">
      <c r="A24" s="1">
        <v>42736.916666666664</v>
      </c>
      <c r="B24" s="2">
        <v>4.0</v>
      </c>
      <c r="C24" s="2">
        <v>0.0</v>
      </c>
      <c r="D24" s="3" t="s">
        <v>63</v>
      </c>
      <c r="E24" s="2">
        <v>0.0</v>
      </c>
      <c r="F24" s="2" t="s">
        <v>37</v>
      </c>
      <c r="G24" s="2">
        <v>47.0</v>
      </c>
      <c r="H24" s="2">
        <v>0.0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3.5" customHeight="1">
      <c r="A25" s="1">
        <v>42736.958333333336</v>
      </c>
      <c r="B25" s="2" t="s">
        <v>64</v>
      </c>
      <c r="C25" s="2">
        <v>0.0</v>
      </c>
      <c r="D25" s="3" t="s">
        <v>65</v>
      </c>
      <c r="E25" s="2">
        <v>0.0</v>
      </c>
      <c r="F25" s="2" t="s">
        <v>66</v>
      </c>
      <c r="G25" s="2">
        <v>48.0</v>
      </c>
      <c r="H25" s="2">
        <v>0.0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3.5" customHeight="1">
      <c r="A26" s="1">
        <v>42767.0</v>
      </c>
      <c r="B26" s="2" t="s">
        <v>40</v>
      </c>
      <c r="C26" s="2">
        <v>0.0</v>
      </c>
      <c r="D26" s="3" t="s">
        <v>67</v>
      </c>
      <c r="E26" s="2">
        <v>0.0</v>
      </c>
      <c r="F26" s="2" t="s">
        <v>68</v>
      </c>
      <c r="G26" s="2">
        <v>61.0</v>
      </c>
      <c r="H26" s="2">
        <v>0.0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3.5" customHeight="1">
      <c r="A27" s="1">
        <v>42767.041666666664</v>
      </c>
      <c r="B27" s="2" t="s">
        <v>37</v>
      </c>
      <c r="C27" s="2">
        <v>0.0</v>
      </c>
      <c r="D27" s="3" t="s">
        <v>69</v>
      </c>
      <c r="E27" s="2">
        <v>0.0</v>
      </c>
      <c r="F27" s="2">
        <v>-3.0</v>
      </c>
      <c r="G27" s="2">
        <v>65.0</v>
      </c>
      <c r="H27" s="2">
        <v>0.0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3.5" customHeight="1">
      <c r="A28" s="1">
        <v>42767.083333333336</v>
      </c>
      <c r="B28" s="2">
        <v>1.0</v>
      </c>
      <c r="C28" s="2">
        <v>0.0</v>
      </c>
      <c r="D28" s="3" t="s">
        <v>69</v>
      </c>
      <c r="E28" s="2">
        <v>0.0</v>
      </c>
      <c r="F28" s="2" t="s">
        <v>70</v>
      </c>
      <c r="G28" s="2">
        <v>66.0</v>
      </c>
      <c r="H28" s="2">
        <v>0.0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3.5" customHeight="1">
      <c r="A29" s="1">
        <v>42767.125</v>
      </c>
      <c r="B29" s="2" t="s">
        <v>71</v>
      </c>
      <c r="C29" s="2">
        <v>0.0</v>
      </c>
      <c r="D29" s="3" t="s">
        <v>65</v>
      </c>
      <c r="E29" s="2">
        <v>0.0</v>
      </c>
      <c r="F29" s="2" t="s">
        <v>72</v>
      </c>
      <c r="G29" s="2">
        <v>66.0</v>
      </c>
      <c r="H29" s="2">
        <v>0.0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3.5" customHeight="1">
      <c r="A30" s="1">
        <v>42767.166666666664</v>
      </c>
      <c r="B30" s="2" t="s">
        <v>24</v>
      </c>
      <c r="C30" s="2">
        <v>0.0</v>
      </c>
      <c r="D30" s="3" t="s">
        <v>73</v>
      </c>
      <c r="E30" s="2">
        <v>0.0</v>
      </c>
      <c r="F30" s="2" t="s">
        <v>72</v>
      </c>
      <c r="G30" s="2">
        <v>62.0</v>
      </c>
      <c r="H30" s="2">
        <v>0.0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3.5" customHeight="1">
      <c r="A31" s="1">
        <v>42767.208333333336</v>
      </c>
      <c r="B31" s="2" t="s">
        <v>8</v>
      </c>
      <c r="C31" s="2">
        <v>0.0</v>
      </c>
      <c r="D31" s="3" t="s">
        <v>73</v>
      </c>
      <c r="E31" s="2">
        <v>0.0</v>
      </c>
      <c r="F31" s="2" t="s">
        <v>72</v>
      </c>
      <c r="G31" s="2">
        <v>65.0</v>
      </c>
      <c r="H31" s="2">
        <v>0.0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3.5" customHeight="1">
      <c r="A32" s="1">
        <v>42767.25</v>
      </c>
      <c r="B32" s="2" t="s">
        <v>25</v>
      </c>
      <c r="C32" s="2">
        <v>0.0</v>
      </c>
      <c r="D32" s="3" t="s">
        <v>74</v>
      </c>
      <c r="E32" s="2">
        <v>0.0</v>
      </c>
      <c r="F32" s="2">
        <v>-2.0</v>
      </c>
      <c r="G32" s="2">
        <v>58.0</v>
      </c>
      <c r="H32" s="2">
        <v>0.0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3.5" customHeight="1">
      <c r="A33" s="1">
        <v>42767.291666666664</v>
      </c>
      <c r="B33" s="2" t="s">
        <v>37</v>
      </c>
      <c r="C33" s="2">
        <v>0.0</v>
      </c>
      <c r="D33" s="3" t="s">
        <v>75</v>
      </c>
      <c r="E33" s="2">
        <v>0.0</v>
      </c>
      <c r="F33" s="2">
        <v>-3.0</v>
      </c>
      <c r="G33" s="2">
        <v>64.0</v>
      </c>
      <c r="H33" s="2">
        <v>0.0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3.5" customHeight="1">
      <c r="A34" s="1">
        <v>42767.333333333336</v>
      </c>
      <c r="B34" s="2" t="s">
        <v>28</v>
      </c>
      <c r="C34" s="2">
        <v>0.0</v>
      </c>
      <c r="D34" s="3" t="s">
        <v>59</v>
      </c>
      <c r="E34" s="2">
        <v>0.0</v>
      </c>
      <c r="F34" s="2" t="s">
        <v>76</v>
      </c>
      <c r="G34" s="2">
        <v>67.0</v>
      </c>
      <c r="H34" s="2">
        <v>0.0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3.5" customHeight="1">
      <c r="A35" s="1">
        <v>42767.375</v>
      </c>
      <c r="B35" s="2" t="s">
        <v>29</v>
      </c>
      <c r="C35" s="2">
        <v>0.0</v>
      </c>
      <c r="D35" s="3" t="s">
        <v>59</v>
      </c>
      <c r="E35" s="2">
        <v>0.0</v>
      </c>
      <c r="F35" s="2">
        <v>-3.0</v>
      </c>
      <c r="G35" s="2">
        <v>67.0</v>
      </c>
      <c r="H35" s="2">
        <v>0.0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3.5" customHeight="1">
      <c r="A36" s="1">
        <v>42767.416666666664</v>
      </c>
      <c r="B36" s="2" t="s">
        <v>28</v>
      </c>
      <c r="C36" s="2">
        <v>7.0</v>
      </c>
      <c r="D36" s="3" t="s">
        <v>77</v>
      </c>
      <c r="E36" s="2" t="s">
        <v>78</v>
      </c>
      <c r="F36" s="2">
        <v>-3.0</v>
      </c>
      <c r="G36" s="2">
        <v>68.0</v>
      </c>
      <c r="H36" s="2">
        <v>0.0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3.5" customHeight="1">
      <c r="A37" s="1">
        <v>42767.458333333336</v>
      </c>
      <c r="B37" s="2">
        <v>1.0</v>
      </c>
      <c r="C37" s="2">
        <v>9.0</v>
      </c>
      <c r="D37" s="3" t="s">
        <v>77</v>
      </c>
      <c r="E37" s="2" t="s">
        <v>79</v>
      </c>
      <c r="F37" s="2" t="s">
        <v>80</v>
      </c>
      <c r="G37" s="2">
        <v>67.0</v>
      </c>
      <c r="H37" s="2">
        <v>2486667.0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3.5" customHeight="1">
      <c r="A38" s="1">
        <v>42767.5</v>
      </c>
      <c r="B38" s="2">
        <v>1.0</v>
      </c>
      <c r="C38" s="2">
        <v>60.0</v>
      </c>
      <c r="D38" s="3" t="s">
        <v>81</v>
      </c>
      <c r="E38" s="2" t="s">
        <v>82</v>
      </c>
      <c r="F38" s="2">
        <v>-1.0</v>
      </c>
      <c r="G38" s="2">
        <v>59.0</v>
      </c>
      <c r="H38" s="2">
        <v>1.0873334E7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3.5" customHeight="1">
      <c r="A39" s="1">
        <v>42767.541666666664</v>
      </c>
      <c r="B39" s="2" t="s">
        <v>25</v>
      </c>
      <c r="C39" s="2">
        <v>60.0</v>
      </c>
      <c r="D39" s="3" t="s">
        <v>83</v>
      </c>
      <c r="E39" s="2" t="s">
        <v>84</v>
      </c>
      <c r="F39" s="2" t="s">
        <v>8</v>
      </c>
      <c r="G39" s="2">
        <v>52.0</v>
      </c>
      <c r="H39" s="2">
        <v>723.0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3.5" customHeight="1">
      <c r="A40" s="1">
        <v>42767.583333333336</v>
      </c>
      <c r="B40" s="2" t="s">
        <v>37</v>
      </c>
      <c r="C40" s="2">
        <v>60.0</v>
      </c>
      <c r="D40" s="3" t="s">
        <v>85</v>
      </c>
      <c r="E40" s="2">
        <v>80.0</v>
      </c>
      <c r="F40" s="2" t="s">
        <v>86</v>
      </c>
      <c r="G40" s="2">
        <v>51.0</v>
      </c>
      <c r="H40" s="2">
        <v>131.0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3.5" customHeight="1">
      <c r="A41" s="1">
        <v>42767.625</v>
      </c>
      <c r="B41" s="2" t="s">
        <v>87</v>
      </c>
      <c r="C41" s="2">
        <v>60.0</v>
      </c>
      <c r="D41" s="3" t="s">
        <v>88</v>
      </c>
      <c r="E41" s="2">
        <v>37.0</v>
      </c>
      <c r="F41" s="2" t="s">
        <v>14</v>
      </c>
      <c r="G41" s="2">
        <v>50.0</v>
      </c>
      <c r="H41" s="2">
        <v>51.0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3.5" customHeight="1">
      <c r="A42" s="1">
        <v>42767.666666666664</v>
      </c>
      <c r="B42" s="2" t="s">
        <v>89</v>
      </c>
      <c r="C42" s="2">
        <v>17.0</v>
      </c>
      <c r="D42" s="3" t="s">
        <v>83</v>
      </c>
      <c r="E42" s="2" t="s">
        <v>71</v>
      </c>
      <c r="F42" s="2">
        <v>-1.0</v>
      </c>
      <c r="G42" s="2">
        <v>51.0</v>
      </c>
      <c r="H42" s="2">
        <v>0.0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3.5" customHeight="1">
      <c r="A43" s="1">
        <v>42767.708333333336</v>
      </c>
      <c r="B43" s="2" t="s">
        <v>24</v>
      </c>
      <c r="C43" s="2">
        <v>0.0</v>
      </c>
      <c r="D43" s="3">
        <v>1012.0</v>
      </c>
      <c r="E43" s="2">
        <v>0.0</v>
      </c>
      <c r="F43" s="2" t="s">
        <v>90</v>
      </c>
      <c r="G43" s="2">
        <v>54.0</v>
      </c>
      <c r="H43" s="2">
        <v>0.0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3.5" customHeight="1">
      <c r="A44" s="1">
        <v>42767.75</v>
      </c>
      <c r="B44" s="2" t="s">
        <v>71</v>
      </c>
      <c r="C44" s="2">
        <v>0.0</v>
      </c>
      <c r="D44" s="3" t="s">
        <v>59</v>
      </c>
      <c r="E44" s="2">
        <v>0.0</v>
      </c>
      <c r="F44" s="2" t="s">
        <v>91</v>
      </c>
      <c r="G44" s="2">
        <v>66.0</v>
      </c>
      <c r="H44" s="2">
        <v>0.0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3.5" customHeight="1">
      <c r="A45" s="1">
        <v>42767.791666666664</v>
      </c>
      <c r="B45" s="2" t="s">
        <v>25</v>
      </c>
      <c r="C45" s="2">
        <v>0.0</v>
      </c>
      <c r="D45" s="3" t="s">
        <v>92</v>
      </c>
      <c r="E45" s="2">
        <v>0.0</v>
      </c>
      <c r="F45" s="2" t="s">
        <v>93</v>
      </c>
      <c r="G45" s="2">
        <v>69.0</v>
      </c>
      <c r="H45" s="2">
        <v>0.0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3.5" customHeight="1">
      <c r="A46" s="1">
        <v>42767.833333333336</v>
      </c>
      <c r="B46" s="2" t="s">
        <v>29</v>
      </c>
      <c r="C46" s="2">
        <v>0.0</v>
      </c>
      <c r="D46" s="3" t="s">
        <v>92</v>
      </c>
      <c r="E46" s="2">
        <v>0.0</v>
      </c>
      <c r="F46" s="2" t="s">
        <v>93</v>
      </c>
      <c r="G46" s="2">
        <v>70.0</v>
      </c>
      <c r="H46" s="2">
        <v>0.0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3.5" customHeight="1">
      <c r="A47" s="1">
        <v>42767.875</v>
      </c>
      <c r="B47" s="2" t="s">
        <v>24</v>
      </c>
      <c r="C47" s="2">
        <v>0.0</v>
      </c>
      <c r="D47" s="3" t="s">
        <v>94</v>
      </c>
      <c r="E47" s="2">
        <v>0.0</v>
      </c>
      <c r="F47" s="2" t="s">
        <v>95</v>
      </c>
      <c r="G47" s="2">
        <v>74.0</v>
      </c>
      <c r="H47" s="2">
        <v>0.0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3.5" customHeight="1">
      <c r="A48" s="1">
        <v>42767.916666666664</v>
      </c>
      <c r="B48" s="2" t="s">
        <v>8</v>
      </c>
      <c r="C48" s="2">
        <v>0.0</v>
      </c>
      <c r="D48" s="3" t="s">
        <v>57</v>
      </c>
      <c r="E48" s="2">
        <v>0.0</v>
      </c>
      <c r="F48" s="2" t="s">
        <v>96</v>
      </c>
      <c r="G48" s="2">
        <v>76.0</v>
      </c>
      <c r="H48" s="2">
        <v>0.0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3.5" customHeight="1">
      <c r="A49" s="1">
        <v>42767.958333333336</v>
      </c>
      <c r="B49" s="2" t="s">
        <v>71</v>
      </c>
      <c r="C49" s="2">
        <v>0.0</v>
      </c>
      <c r="D49" s="3" t="s">
        <v>97</v>
      </c>
      <c r="E49" s="2">
        <v>0.0</v>
      </c>
      <c r="F49" s="2" t="s">
        <v>98</v>
      </c>
      <c r="G49" s="2">
        <v>76.0</v>
      </c>
      <c r="H49" s="2">
        <v>0.0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3.5" customHeight="1">
      <c r="A50" s="1">
        <v>42795.0</v>
      </c>
      <c r="B50" s="2" t="s">
        <v>29</v>
      </c>
      <c r="C50" s="2">
        <v>0.0</v>
      </c>
      <c r="D50" s="3" t="s">
        <v>99</v>
      </c>
      <c r="E50" s="2">
        <v>0.0</v>
      </c>
      <c r="F50" s="2" t="s">
        <v>100</v>
      </c>
      <c r="G50" s="2">
        <v>76.0</v>
      </c>
      <c r="H50" s="2">
        <v>0.0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3.5" customHeight="1">
      <c r="A51" s="1">
        <v>42795.041666666664</v>
      </c>
      <c r="B51" s="2" t="s">
        <v>101</v>
      </c>
      <c r="C51" s="2">
        <v>0.0</v>
      </c>
      <c r="D51" s="3" t="s">
        <v>53</v>
      </c>
      <c r="E51" s="2">
        <v>0.0</v>
      </c>
      <c r="F51" s="2" t="s">
        <v>102</v>
      </c>
      <c r="G51" s="2">
        <v>79.0</v>
      </c>
      <c r="H51" s="2">
        <v>0.0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3.5" customHeight="1">
      <c r="A52" s="1">
        <v>42795.083333333336</v>
      </c>
      <c r="B52" s="2" t="s">
        <v>8</v>
      </c>
      <c r="C52" s="2">
        <v>0.0</v>
      </c>
      <c r="D52" s="3" t="s">
        <v>103</v>
      </c>
      <c r="E52" s="2">
        <v>0.0</v>
      </c>
      <c r="F52" s="2" t="s">
        <v>104</v>
      </c>
      <c r="G52" s="2">
        <v>80.0</v>
      </c>
      <c r="H52" s="2">
        <v>0.0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3.5" customHeight="1">
      <c r="A53" s="1">
        <v>42795.125</v>
      </c>
      <c r="B53" s="2" t="s">
        <v>71</v>
      </c>
      <c r="C53" s="2">
        <v>0.0</v>
      </c>
      <c r="D53" s="3" t="s">
        <v>105</v>
      </c>
      <c r="E53" s="2">
        <v>0.0</v>
      </c>
      <c r="F53" s="2" t="s">
        <v>104</v>
      </c>
      <c r="G53" s="2">
        <v>81.0</v>
      </c>
      <c r="H53" s="2">
        <v>0.0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3.5" customHeight="1">
      <c r="A54" s="1">
        <v>42795.166666666664</v>
      </c>
      <c r="B54" s="2" t="s">
        <v>106</v>
      </c>
      <c r="C54" s="2">
        <v>0.0</v>
      </c>
      <c r="D54" s="3" t="s">
        <v>107</v>
      </c>
      <c r="E54" s="2">
        <v>0.0</v>
      </c>
      <c r="F54" s="2" t="s">
        <v>91</v>
      </c>
      <c r="G54" s="2">
        <v>80.0</v>
      </c>
      <c r="H54" s="2">
        <v>0.0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3.5" customHeight="1">
      <c r="A55" s="1">
        <v>42795.208333333336</v>
      </c>
      <c r="B55" s="2" t="s">
        <v>87</v>
      </c>
      <c r="C55" s="2">
        <v>0.0</v>
      </c>
      <c r="D55" s="3" t="s">
        <v>108</v>
      </c>
      <c r="E55" s="2">
        <v>0.0</v>
      </c>
      <c r="F55" s="2">
        <v>-4.0</v>
      </c>
      <c r="G55" s="2">
        <v>81.0</v>
      </c>
      <c r="H55" s="2">
        <v>0.0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3.5" customHeight="1">
      <c r="A56" s="1">
        <v>42795.25</v>
      </c>
      <c r="B56" s="2" t="s">
        <v>28</v>
      </c>
      <c r="C56" s="2">
        <v>0.0</v>
      </c>
      <c r="D56" s="3" t="s">
        <v>109</v>
      </c>
      <c r="E56" s="2">
        <v>0.0</v>
      </c>
      <c r="F56" s="2" t="s">
        <v>110</v>
      </c>
      <c r="G56" s="2">
        <v>84.0</v>
      </c>
      <c r="H56" s="2">
        <v>0.0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3.5" customHeight="1">
      <c r="A57" s="1">
        <v>42795.291666666664</v>
      </c>
      <c r="B57" s="2" t="s">
        <v>10</v>
      </c>
      <c r="C57" s="2">
        <v>0.0</v>
      </c>
      <c r="D57" s="3" t="s">
        <v>21</v>
      </c>
      <c r="E57" s="2">
        <v>0.0</v>
      </c>
      <c r="F57" s="2" t="s">
        <v>111</v>
      </c>
      <c r="G57" s="2">
        <v>82.0</v>
      </c>
      <c r="H57" s="2">
        <v>0.0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3.5" customHeight="1">
      <c r="A58" s="1">
        <v>42795.333333333336</v>
      </c>
      <c r="B58" s="2" t="s">
        <v>112</v>
      </c>
      <c r="C58" s="2">
        <v>0.0</v>
      </c>
      <c r="D58" s="3" t="s">
        <v>113</v>
      </c>
      <c r="E58" s="2">
        <v>0.0</v>
      </c>
      <c r="F58" s="2" t="s">
        <v>91</v>
      </c>
      <c r="G58" s="2">
        <v>80.0</v>
      </c>
      <c r="H58" s="2">
        <v>0.0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3.5" customHeight="1">
      <c r="A59" s="1">
        <v>42795.375</v>
      </c>
      <c r="B59" s="2" t="s">
        <v>66</v>
      </c>
      <c r="C59" s="2">
        <v>0.0</v>
      </c>
      <c r="D59" s="3" t="s">
        <v>114</v>
      </c>
      <c r="E59" s="2">
        <v>0.0</v>
      </c>
      <c r="F59" s="2" t="s">
        <v>76</v>
      </c>
      <c r="G59" s="2">
        <v>81.0</v>
      </c>
      <c r="H59" s="2">
        <v>0.0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3.5" customHeight="1">
      <c r="A60" s="1">
        <v>42795.416666666664</v>
      </c>
      <c r="B60" s="2" t="s">
        <v>71</v>
      </c>
      <c r="C60" s="2">
        <v>0.0</v>
      </c>
      <c r="D60" s="3" t="s">
        <v>115</v>
      </c>
      <c r="E60" s="2">
        <v>0.0</v>
      </c>
      <c r="F60" s="2" t="s">
        <v>116</v>
      </c>
      <c r="G60" s="2">
        <v>82.0</v>
      </c>
      <c r="H60" s="2">
        <v>0.0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3.5" customHeight="1">
      <c r="A61" s="1">
        <v>42795.458333333336</v>
      </c>
      <c r="B61" s="2" t="s">
        <v>25</v>
      </c>
      <c r="C61" s="2">
        <v>0.0</v>
      </c>
      <c r="D61" s="3" t="s">
        <v>117</v>
      </c>
      <c r="E61" s="2" t="s">
        <v>118</v>
      </c>
      <c r="F61" s="2" t="s">
        <v>119</v>
      </c>
      <c r="G61" s="2">
        <v>80.0</v>
      </c>
      <c r="H61" s="2">
        <v>0.0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3.5" customHeight="1">
      <c r="A62" s="1">
        <v>42795.5</v>
      </c>
      <c r="B62" s="2" t="s">
        <v>71</v>
      </c>
      <c r="C62" s="2">
        <v>0.0</v>
      </c>
      <c r="D62" s="3" t="s">
        <v>120</v>
      </c>
      <c r="E62" s="2" t="s">
        <v>121</v>
      </c>
      <c r="F62" s="2">
        <v>-2.0</v>
      </c>
      <c r="G62" s="2">
        <v>78.0</v>
      </c>
      <c r="H62" s="2">
        <v>5921666.0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3.5" customHeight="1">
      <c r="A63" s="1">
        <v>42795.541666666664</v>
      </c>
      <c r="B63" s="2" t="s">
        <v>40</v>
      </c>
      <c r="C63" s="2">
        <v>38.0</v>
      </c>
      <c r="D63" s="3" t="s">
        <v>122</v>
      </c>
      <c r="E63" s="2" t="s">
        <v>123</v>
      </c>
      <c r="F63" s="2" t="s">
        <v>124</v>
      </c>
      <c r="G63" s="2">
        <v>79.0</v>
      </c>
      <c r="H63" s="2">
        <v>6388333.0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3.5" customHeight="1">
      <c r="A64" s="1">
        <v>42795.583333333336</v>
      </c>
      <c r="B64" s="2" t="s">
        <v>66</v>
      </c>
      <c r="C64" s="2">
        <v>60.0</v>
      </c>
      <c r="D64" s="3" t="s">
        <v>125</v>
      </c>
      <c r="E64" s="2" t="s">
        <v>126</v>
      </c>
      <c r="F64" s="2" t="s">
        <v>127</v>
      </c>
      <c r="G64" s="2">
        <v>79.0</v>
      </c>
      <c r="H64" s="2">
        <v>2538334.0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3.5" customHeight="1">
      <c r="A65" s="1">
        <v>42795.625</v>
      </c>
      <c r="B65" s="2" t="s">
        <v>40</v>
      </c>
      <c r="C65" s="2">
        <v>20.0</v>
      </c>
      <c r="D65" s="3" t="s">
        <v>128</v>
      </c>
      <c r="E65" s="2" t="s">
        <v>129</v>
      </c>
      <c r="F65" s="2">
        <v>-1.0</v>
      </c>
      <c r="G65" s="2">
        <v>78.0</v>
      </c>
      <c r="H65" s="2">
        <v>333334.0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3.5" customHeight="1">
      <c r="A66" s="1">
        <v>42795.666666666664</v>
      </c>
      <c r="B66" s="2" t="s">
        <v>106</v>
      </c>
      <c r="C66" s="2">
        <v>4.0</v>
      </c>
      <c r="D66" s="3" t="s">
        <v>130</v>
      </c>
      <c r="E66" s="2">
        <v>0.0</v>
      </c>
      <c r="F66" s="2" t="s">
        <v>68</v>
      </c>
      <c r="G66" s="2">
        <v>84.0</v>
      </c>
      <c r="H66" s="2">
        <v>0.0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3.5" customHeight="1">
      <c r="A67" s="1">
        <v>42795.708333333336</v>
      </c>
      <c r="B67" s="2" t="s">
        <v>29</v>
      </c>
      <c r="C67" s="2">
        <v>0.0</v>
      </c>
      <c r="D67" s="3">
        <v>987.0</v>
      </c>
      <c r="E67" s="2">
        <v>0.0</v>
      </c>
      <c r="F67" s="2" t="s">
        <v>119</v>
      </c>
      <c r="G67" s="2">
        <v>84.0</v>
      </c>
      <c r="H67" s="2">
        <v>0.0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3.5" customHeight="1">
      <c r="A68" s="1">
        <v>42795.75</v>
      </c>
      <c r="B68" s="2" t="s">
        <v>112</v>
      </c>
      <c r="C68" s="2">
        <v>0.0</v>
      </c>
      <c r="D68" s="3" t="s">
        <v>131</v>
      </c>
      <c r="E68" s="2">
        <v>0.0</v>
      </c>
      <c r="F68" s="2" t="s">
        <v>70</v>
      </c>
      <c r="G68" s="2">
        <v>88.0</v>
      </c>
      <c r="H68" s="2">
        <v>0.0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3.5" customHeight="1">
      <c r="A69" s="1">
        <v>42795.791666666664</v>
      </c>
      <c r="B69" s="2" t="s">
        <v>56</v>
      </c>
      <c r="C69" s="2">
        <v>0.0</v>
      </c>
      <c r="D69" s="3" t="s">
        <v>132</v>
      </c>
      <c r="E69" s="2">
        <v>0.0</v>
      </c>
      <c r="F69" s="2" t="s">
        <v>43</v>
      </c>
      <c r="G69" s="2">
        <v>74.0</v>
      </c>
      <c r="H69" s="2">
        <v>0.0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3.5" customHeight="1">
      <c r="A70" s="1">
        <v>42795.833333333336</v>
      </c>
      <c r="B70" s="2" t="s">
        <v>71</v>
      </c>
      <c r="C70" s="2">
        <v>0.0</v>
      </c>
      <c r="D70" s="3" t="s">
        <v>133</v>
      </c>
      <c r="E70" s="2">
        <v>0.0</v>
      </c>
      <c r="F70" s="2" t="s">
        <v>134</v>
      </c>
      <c r="G70" s="2">
        <v>73.0</v>
      </c>
      <c r="H70" s="2">
        <v>0.0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3.5" customHeight="1">
      <c r="A71" s="1">
        <v>42795.875</v>
      </c>
      <c r="B71" s="2">
        <v>1.0</v>
      </c>
      <c r="C71" s="2">
        <v>0.0</v>
      </c>
      <c r="D71" s="3" t="s">
        <v>133</v>
      </c>
      <c r="E71" s="2">
        <v>0.0</v>
      </c>
      <c r="F71" s="2" t="s">
        <v>119</v>
      </c>
      <c r="G71" s="2">
        <v>71.0</v>
      </c>
      <c r="H71" s="2">
        <v>0.0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3.5" customHeight="1">
      <c r="A72" s="1">
        <v>42795.916666666664</v>
      </c>
      <c r="B72" s="2" t="s">
        <v>43</v>
      </c>
      <c r="C72" s="2">
        <v>0.0</v>
      </c>
      <c r="D72" s="3" t="s">
        <v>135</v>
      </c>
      <c r="E72" s="2">
        <v>0.0</v>
      </c>
      <c r="F72" s="2" t="s">
        <v>136</v>
      </c>
      <c r="G72" s="2">
        <v>70.0</v>
      </c>
      <c r="H72" s="2">
        <v>0.0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3.5" customHeight="1">
      <c r="A73" s="1">
        <v>42795.958333333336</v>
      </c>
      <c r="B73" s="2" t="s">
        <v>89</v>
      </c>
      <c r="C73" s="2">
        <v>0.0</v>
      </c>
      <c r="D73" s="3" t="s">
        <v>131</v>
      </c>
      <c r="E73" s="2">
        <v>0.0</v>
      </c>
      <c r="F73" s="2" t="s">
        <v>68</v>
      </c>
      <c r="G73" s="2">
        <v>69.0</v>
      </c>
      <c r="H73" s="2">
        <v>0.0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3.5" customHeight="1">
      <c r="A74" s="1">
        <v>42826.0</v>
      </c>
      <c r="B74" s="2" t="s">
        <v>137</v>
      </c>
      <c r="C74" s="2">
        <v>0.0</v>
      </c>
      <c r="D74" s="3" t="s">
        <v>131</v>
      </c>
      <c r="E74" s="2">
        <v>0.0</v>
      </c>
      <c r="F74" s="2">
        <v>-1.0</v>
      </c>
      <c r="G74" s="2">
        <v>63.0</v>
      </c>
      <c r="H74" s="2">
        <v>0.0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3.5" customHeight="1">
      <c r="A75" s="1">
        <v>42826.041666666664</v>
      </c>
      <c r="B75" s="2" t="s">
        <v>138</v>
      </c>
      <c r="C75" s="2">
        <v>0.0</v>
      </c>
      <c r="D75" s="3" t="s">
        <v>130</v>
      </c>
      <c r="E75" s="2">
        <v>0.0</v>
      </c>
      <c r="F75" s="2" t="s">
        <v>139</v>
      </c>
      <c r="G75" s="2">
        <v>64.0</v>
      </c>
      <c r="H75" s="2">
        <v>0.0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3.5" customHeight="1">
      <c r="A76" s="1">
        <v>42826.083333333336</v>
      </c>
      <c r="B76" s="2" t="s">
        <v>56</v>
      </c>
      <c r="C76" s="2">
        <v>0.0</v>
      </c>
      <c r="D76" s="3">
        <v>989.0</v>
      </c>
      <c r="E76" s="2">
        <v>0.0</v>
      </c>
      <c r="F76" s="2">
        <v>-1.0</v>
      </c>
      <c r="G76" s="2">
        <v>62.0</v>
      </c>
      <c r="H76" s="2">
        <v>0.0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3.5" customHeight="1">
      <c r="A77" s="1">
        <v>42826.125</v>
      </c>
      <c r="B77" s="2" t="s">
        <v>56</v>
      </c>
      <c r="C77" s="2">
        <v>0.0</v>
      </c>
      <c r="D77" s="3" t="s">
        <v>140</v>
      </c>
      <c r="E77" s="2">
        <v>0.0</v>
      </c>
      <c r="F77" s="2" t="s">
        <v>31</v>
      </c>
      <c r="G77" s="2">
        <v>65.0</v>
      </c>
      <c r="H77" s="2">
        <v>0.0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3.5" customHeight="1">
      <c r="A78" s="1">
        <v>42826.166666666664</v>
      </c>
      <c r="B78" s="2" t="s">
        <v>141</v>
      </c>
      <c r="C78" s="2">
        <v>0.0</v>
      </c>
      <c r="D78" s="3" t="s">
        <v>142</v>
      </c>
      <c r="E78" s="2">
        <v>0.0</v>
      </c>
      <c r="F78" s="2" t="s">
        <v>143</v>
      </c>
      <c r="G78" s="2">
        <v>65.0</v>
      </c>
      <c r="H78" s="2">
        <v>0.0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3.5" customHeight="1">
      <c r="A79" s="1">
        <v>42826.208333333336</v>
      </c>
      <c r="B79" s="2" t="s">
        <v>55</v>
      </c>
      <c r="C79" s="2">
        <v>0.0</v>
      </c>
      <c r="D79" s="3" t="s">
        <v>144</v>
      </c>
      <c r="E79" s="2">
        <v>0.0</v>
      </c>
      <c r="F79" s="2" t="s">
        <v>145</v>
      </c>
      <c r="G79" s="2">
        <v>62.0</v>
      </c>
      <c r="H79" s="2">
        <v>0.0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3.5" customHeight="1">
      <c r="A80" s="1">
        <v>42826.25</v>
      </c>
      <c r="B80" s="2">
        <v>2.0</v>
      </c>
      <c r="C80" s="2">
        <v>0.0</v>
      </c>
      <c r="D80" s="3" t="s">
        <v>146</v>
      </c>
      <c r="E80" s="2">
        <v>0.0</v>
      </c>
      <c r="F80" s="2" t="s">
        <v>139</v>
      </c>
      <c r="G80" s="2">
        <v>65.0</v>
      </c>
      <c r="H80" s="2">
        <v>0.0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3.5" customHeight="1">
      <c r="A81" s="1">
        <v>42826.291666666664</v>
      </c>
      <c r="B81" s="2" t="s">
        <v>147</v>
      </c>
      <c r="C81" s="2">
        <v>0.0</v>
      </c>
      <c r="D81" s="3" t="s">
        <v>148</v>
      </c>
      <c r="E81" s="2">
        <v>0.0</v>
      </c>
      <c r="F81" s="2" t="s">
        <v>124</v>
      </c>
      <c r="G81" s="2">
        <v>66.0</v>
      </c>
      <c r="H81" s="2">
        <v>0.0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3.5" customHeight="1">
      <c r="A82" s="1">
        <v>42826.333333333336</v>
      </c>
      <c r="B82" s="2" t="s">
        <v>49</v>
      </c>
      <c r="C82" s="2">
        <v>0.0</v>
      </c>
      <c r="D82" s="3" t="s">
        <v>149</v>
      </c>
      <c r="E82" s="2">
        <v>0.0</v>
      </c>
      <c r="F82" s="2">
        <v>-1.0</v>
      </c>
      <c r="G82" s="2">
        <v>64.0</v>
      </c>
      <c r="H82" s="2">
        <v>0.0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3.5" customHeight="1">
      <c r="A83" s="1">
        <v>42826.375</v>
      </c>
      <c r="B83" s="2" t="s">
        <v>150</v>
      </c>
      <c r="C83" s="2">
        <v>0.0</v>
      </c>
      <c r="D83" s="3" t="s">
        <v>151</v>
      </c>
      <c r="E83" s="2">
        <v>0.0</v>
      </c>
      <c r="F83" s="2" t="s">
        <v>152</v>
      </c>
      <c r="G83" s="2">
        <v>54.0</v>
      </c>
      <c r="H83" s="2">
        <v>0.0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3.5" customHeight="1">
      <c r="A84" s="1">
        <v>42826.416666666664</v>
      </c>
      <c r="B84" s="2" t="s">
        <v>153</v>
      </c>
      <c r="C84" s="2">
        <v>0.0</v>
      </c>
      <c r="D84" s="3" t="s">
        <v>13</v>
      </c>
      <c r="E84" s="2" t="s">
        <v>71</v>
      </c>
      <c r="F84" s="2" t="s">
        <v>16</v>
      </c>
      <c r="G84" s="2">
        <v>42.0</v>
      </c>
      <c r="H84" s="2">
        <v>0.0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3.5" customHeight="1">
      <c r="A85" s="1">
        <v>42826.458333333336</v>
      </c>
      <c r="B85" s="2" t="s">
        <v>154</v>
      </c>
      <c r="C85" s="2">
        <v>29.0</v>
      </c>
      <c r="D85" s="3" t="s">
        <v>155</v>
      </c>
      <c r="E85" s="2" t="s">
        <v>156</v>
      </c>
      <c r="F85" s="2" t="s">
        <v>139</v>
      </c>
      <c r="G85" s="2">
        <v>44.0</v>
      </c>
      <c r="H85" s="2">
        <v>0.0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3.5" customHeight="1">
      <c r="A86" s="1">
        <v>42826.5</v>
      </c>
      <c r="B86" s="2" t="s">
        <v>157</v>
      </c>
      <c r="C86" s="2">
        <v>42.0</v>
      </c>
      <c r="D86" s="3" t="s">
        <v>41</v>
      </c>
      <c r="E86" s="2" t="s">
        <v>158</v>
      </c>
      <c r="F86" s="2" t="s">
        <v>68</v>
      </c>
      <c r="G86" s="2">
        <v>45.0</v>
      </c>
      <c r="H86" s="2">
        <v>1289166.0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3.5" customHeight="1">
      <c r="A87" s="1">
        <v>42826.541666666664</v>
      </c>
      <c r="B87" s="2" t="s">
        <v>159</v>
      </c>
      <c r="C87" s="2">
        <v>1.0</v>
      </c>
      <c r="D87" s="3" t="s">
        <v>160</v>
      </c>
      <c r="E87" s="2" t="s">
        <v>161</v>
      </c>
      <c r="F87" s="2" t="s">
        <v>162</v>
      </c>
      <c r="G87" s="2">
        <v>47.0</v>
      </c>
      <c r="H87" s="2">
        <v>102.0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3.5" customHeight="1">
      <c r="A88" s="1">
        <v>42826.583333333336</v>
      </c>
      <c r="B88" s="2" t="s">
        <v>163</v>
      </c>
      <c r="C88" s="2">
        <v>0.0</v>
      </c>
      <c r="D88" s="3" t="s">
        <v>164</v>
      </c>
      <c r="E88" s="2" t="s">
        <v>165</v>
      </c>
      <c r="F88" s="2">
        <v>-3.0</v>
      </c>
      <c r="G88" s="2">
        <v>60.0</v>
      </c>
      <c r="H88" s="2">
        <v>18.0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3.5" customHeight="1">
      <c r="A89" s="1">
        <v>42826.625</v>
      </c>
      <c r="B89" s="2" t="s">
        <v>163</v>
      </c>
      <c r="C89" s="2">
        <v>0.0</v>
      </c>
      <c r="D89" s="3" t="s">
        <v>166</v>
      </c>
      <c r="E89" s="2" t="s">
        <v>167</v>
      </c>
      <c r="F89" s="2" t="s">
        <v>91</v>
      </c>
      <c r="G89" s="2">
        <v>64.0</v>
      </c>
      <c r="H89" s="2">
        <v>0.0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3.5" customHeight="1">
      <c r="A90" s="1">
        <v>42826.666666666664</v>
      </c>
      <c r="B90" s="2" t="s">
        <v>168</v>
      </c>
      <c r="C90" s="2">
        <v>0.0</v>
      </c>
      <c r="D90" s="3" t="s">
        <v>169</v>
      </c>
      <c r="E90" s="2">
        <v>0.0</v>
      </c>
      <c r="F90" s="2">
        <v>-4.0</v>
      </c>
      <c r="G90" s="2">
        <v>60.0</v>
      </c>
      <c r="H90" s="2">
        <v>0.0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3.5" customHeight="1">
      <c r="A91" s="1">
        <v>42826.708333333336</v>
      </c>
      <c r="B91" s="2" t="s">
        <v>78</v>
      </c>
      <c r="C91" s="2">
        <v>0.0</v>
      </c>
      <c r="D91" s="3" t="s">
        <v>170</v>
      </c>
      <c r="E91" s="2">
        <v>0.0</v>
      </c>
      <c r="F91" s="2">
        <v>-4.0</v>
      </c>
      <c r="G91" s="2">
        <v>62.0</v>
      </c>
      <c r="H91" s="2">
        <v>0.0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3.5" customHeight="1">
      <c r="A92" s="1">
        <v>42826.75</v>
      </c>
      <c r="B92" s="2" t="s">
        <v>171</v>
      </c>
      <c r="C92" s="2">
        <v>0.0</v>
      </c>
      <c r="D92" s="3" t="s">
        <v>172</v>
      </c>
      <c r="E92" s="2">
        <v>0.0</v>
      </c>
      <c r="F92" s="2" t="s">
        <v>110</v>
      </c>
      <c r="G92" s="2">
        <v>68.0</v>
      </c>
      <c r="H92" s="2">
        <v>0.0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3.5" customHeight="1">
      <c r="A93" s="1">
        <v>42826.791666666664</v>
      </c>
      <c r="B93" s="2" t="s">
        <v>173</v>
      </c>
      <c r="C93" s="2">
        <v>0.0</v>
      </c>
      <c r="D93" s="3" t="s">
        <v>174</v>
      </c>
      <c r="E93" s="2">
        <v>0.0</v>
      </c>
      <c r="F93" s="2" t="s">
        <v>95</v>
      </c>
      <c r="G93" s="2">
        <v>81.0</v>
      </c>
      <c r="H93" s="2">
        <v>0.0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3.5" customHeight="1">
      <c r="A94" s="1">
        <v>42826.833333333336</v>
      </c>
      <c r="B94" s="2" t="s">
        <v>55</v>
      </c>
      <c r="C94" s="2">
        <v>0.0</v>
      </c>
      <c r="D94" s="3" t="s">
        <v>175</v>
      </c>
      <c r="E94" s="2">
        <v>0.0</v>
      </c>
      <c r="F94" s="2" t="s">
        <v>176</v>
      </c>
      <c r="G94" s="2">
        <v>76.0</v>
      </c>
      <c r="H94" s="2">
        <v>0.0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3.5" customHeight="1">
      <c r="A95" s="1">
        <v>42826.875</v>
      </c>
      <c r="B95" s="2" t="s">
        <v>49</v>
      </c>
      <c r="C95" s="2">
        <v>0.0</v>
      </c>
      <c r="D95" s="3" t="s">
        <v>177</v>
      </c>
      <c r="E95" s="2">
        <v>0.0</v>
      </c>
      <c r="F95" s="2" t="s">
        <v>178</v>
      </c>
      <c r="G95" s="2">
        <v>73.0</v>
      </c>
      <c r="H95" s="2">
        <v>0.0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3.5" customHeight="1">
      <c r="A96" s="1">
        <v>42826.916666666664</v>
      </c>
      <c r="B96" s="2" t="s">
        <v>55</v>
      </c>
      <c r="C96" s="2">
        <v>0.0</v>
      </c>
      <c r="D96" s="3" t="s">
        <v>179</v>
      </c>
      <c r="E96" s="2">
        <v>0.0</v>
      </c>
      <c r="F96" s="2" t="s">
        <v>180</v>
      </c>
      <c r="G96" s="2">
        <v>72.0</v>
      </c>
      <c r="H96" s="2">
        <v>0.0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3.5" customHeight="1">
      <c r="A97" s="1">
        <v>42826.958333333336</v>
      </c>
      <c r="B97" s="2" t="s">
        <v>101</v>
      </c>
      <c r="C97" s="2">
        <v>0.0</v>
      </c>
      <c r="D97" s="3" t="s">
        <v>181</v>
      </c>
      <c r="E97" s="2">
        <v>0.0</v>
      </c>
      <c r="F97" s="2" t="s">
        <v>182</v>
      </c>
      <c r="G97" s="2">
        <v>72.0</v>
      </c>
      <c r="H97" s="2">
        <v>0.0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3.5" customHeight="1">
      <c r="A98" s="1">
        <v>42856.0</v>
      </c>
      <c r="B98" s="2" t="s">
        <v>183</v>
      </c>
      <c r="C98" s="2">
        <v>0.0</v>
      </c>
      <c r="D98" s="3" t="s">
        <v>184</v>
      </c>
      <c r="E98" s="2">
        <v>0.0</v>
      </c>
      <c r="F98" s="2" t="s">
        <v>185</v>
      </c>
      <c r="G98" s="2">
        <v>71.0</v>
      </c>
      <c r="H98" s="2">
        <v>0.0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3.5" customHeight="1">
      <c r="A99" s="1">
        <v>42856.041666666664</v>
      </c>
      <c r="B99" s="2" t="s">
        <v>45</v>
      </c>
      <c r="C99" s="2">
        <v>0.0</v>
      </c>
      <c r="D99" s="3" t="s">
        <v>186</v>
      </c>
      <c r="E99" s="2">
        <v>0.0</v>
      </c>
      <c r="F99" s="2" t="s">
        <v>187</v>
      </c>
      <c r="G99" s="2">
        <v>71.0</v>
      </c>
      <c r="H99" s="2">
        <v>0.0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3.5" customHeight="1">
      <c r="A100" s="1">
        <v>42856.083333333336</v>
      </c>
      <c r="B100" s="2">
        <v>1.0</v>
      </c>
      <c r="C100" s="2">
        <v>0.0</v>
      </c>
      <c r="D100" s="3" t="s">
        <v>188</v>
      </c>
      <c r="E100" s="2">
        <v>0.0</v>
      </c>
      <c r="F100" s="2" t="s">
        <v>189</v>
      </c>
      <c r="G100" s="2">
        <v>73.0</v>
      </c>
      <c r="H100" s="2">
        <v>0.0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3.5" customHeight="1">
      <c r="A101" s="1">
        <v>42856.125</v>
      </c>
      <c r="B101" s="2" t="s">
        <v>40</v>
      </c>
      <c r="C101" s="2">
        <v>0.0</v>
      </c>
      <c r="D101" s="3" t="s">
        <v>190</v>
      </c>
      <c r="E101" s="2">
        <v>0.0</v>
      </c>
      <c r="F101" s="2" t="s">
        <v>191</v>
      </c>
      <c r="G101" s="2">
        <v>76.0</v>
      </c>
      <c r="H101" s="2">
        <v>0.0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3.5" customHeight="1">
      <c r="A102" s="1">
        <v>42856.166666666664</v>
      </c>
      <c r="B102" s="2" t="s">
        <v>50</v>
      </c>
      <c r="C102" s="2">
        <v>0.0</v>
      </c>
      <c r="D102" s="3">
        <v>1031.0</v>
      </c>
      <c r="E102" s="2">
        <v>0.0</v>
      </c>
      <c r="F102" s="2">
        <v>-10.0</v>
      </c>
      <c r="G102" s="2">
        <v>74.0</v>
      </c>
      <c r="H102" s="2">
        <v>0.0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3.5" customHeight="1">
      <c r="A103" s="1">
        <v>42856.208333333336</v>
      </c>
      <c r="B103" s="2" t="s">
        <v>89</v>
      </c>
      <c r="C103" s="2">
        <v>0.0</v>
      </c>
      <c r="D103" s="3" t="s">
        <v>192</v>
      </c>
      <c r="E103" s="2">
        <v>0.0</v>
      </c>
      <c r="F103" s="2">
        <v>-10.0</v>
      </c>
      <c r="G103" s="2">
        <v>71.0</v>
      </c>
      <c r="H103" s="2">
        <v>0.0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3.5" customHeight="1">
      <c r="A104" s="1">
        <v>42856.25</v>
      </c>
      <c r="B104" s="2" t="s">
        <v>29</v>
      </c>
      <c r="C104" s="2">
        <v>0.0</v>
      </c>
      <c r="D104" s="3" t="s">
        <v>193</v>
      </c>
      <c r="E104" s="2">
        <v>0.0</v>
      </c>
      <c r="F104" s="2" t="s">
        <v>194</v>
      </c>
      <c r="G104" s="2">
        <v>75.0</v>
      </c>
      <c r="H104" s="2">
        <v>0.0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3.5" customHeight="1">
      <c r="A105" s="1">
        <v>42856.291666666664</v>
      </c>
      <c r="B105" s="2" t="s">
        <v>106</v>
      </c>
      <c r="C105" s="2">
        <v>0.0</v>
      </c>
      <c r="D105" s="3">
        <v>1034.0</v>
      </c>
      <c r="E105" s="2">
        <v>0.0</v>
      </c>
      <c r="F105" s="2" t="s">
        <v>195</v>
      </c>
      <c r="G105" s="2">
        <v>80.0</v>
      </c>
      <c r="H105" s="2">
        <v>0.0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3.5" customHeight="1">
      <c r="A106" s="1">
        <v>42856.333333333336</v>
      </c>
      <c r="B106" s="2" t="s">
        <v>25</v>
      </c>
      <c r="C106" s="2">
        <v>0.0</v>
      </c>
      <c r="D106" s="3" t="s">
        <v>196</v>
      </c>
      <c r="E106" s="2">
        <v>0.0</v>
      </c>
      <c r="F106" s="2" t="s">
        <v>197</v>
      </c>
      <c r="G106" s="2">
        <v>80.0</v>
      </c>
      <c r="H106" s="2">
        <v>0.0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3.5" customHeight="1">
      <c r="A107" s="1">
        <v>42856.375</v>
      </c>
      <c r="B107" s="2" t="s">
        <v>17</v>
      </c>
      <c r="C107" s="2">
        <v>0.0</v>
      </c>
      <c r="D107" s="3" t="s">
        <v>198</v>
      </c>
      <c r="E107" s="2">
        <v>0.0</v>
      </c>
      <c r="F107" s="2" t="s">
        <v>199</v>
      </c>
      <c r="G107" s="2">
        <v>79.0</v>
      </c>
      <c r="H107" s="2">
        <v>0.0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3.5" customHeight="1">
      <c r="A108" s="1">
        <v>42856.416666666664</v>
      </c>
      <c r="B108" s="2" t="s">
        <v>60</v>
      </c>
      <c r="C108" s="2">
        <v>26.0</v>
      </c>
      <c r="D108" s="3">
        <v>1036.0</v>
      </c>
      <c r="E108" s="2" t="s">
        <v>200</v>
      </c>
      <c r="F108" s="2" t="s">
        <v>201</v>
      </c>
      <c r="G108" s="2">
        <v>76.0</v>
      </c>
      <c r="H108" s="2">
        <v>0.0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3.5" customHeight="1">
      <c r="A109" s="1">
        <v>42856.458333333336</v>
      </c>
      <c r="B109" s="2" t="s">
        <v>138</v>
      </c>
      <c r="C109" s="2">
        <v>60.0</v>
      </c>
      <c r="D109" s="3" t="s">
        <v>202</v>
      </c>
      <c r="E109" s="2" t="s">
        <v>203</v>
      </c>
      <c r="F109" s="2" t="s">
        <v>204</v>
      </c>
      <c r="G109" s="2">
        <v>72.0</v>
      </c>
      <c r="H109" s="2">
        <v>0.0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3.5" customHeight="1">
      <c r="A110" s="1">
        <v>42856.5</v>
      </c>
      <c r="B110" s="2" t="s">
        <v>28</v>
      </c>
      <c r="C110" s="2">
        <v>60.0</v>
      </c>
      <c r="D110" s="3" t="s">
        <v>205</v>
      </c>
      <c r="E110" s="2" t="s">
        <v>206</v>
      </c>
      <c r="F110" s="2" t="s">
        <v>207</v>
      </c>
      <c r="G110" s="2">
        <v>71.0</v>
      </c>
      <c r="H110" s="2">
        <v>3531667.0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3.5" customHeight="1">
      <c r="A111" s="1">
        <v>42856.541666666664</v>
      </c>
      <c r="B111" s="2" t="s">
        <v>40</v>
      </c>
      <c r="C111" s="2">
        <v>60.0</v>
      </c>
      <c r="D111" s="3" t="s">
        <v>208</v>
      </c>
      <c r="E111" s="2" t="s">
        <v>209</v>
      </c>
      <c r="F111" s="2" t="s">
        <v>210</v>
      </c>
      <c r="G111" s="2">
        <v>66.0</v>
      </c>
      <c r="H111" s="2">
        <v>236.0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3.5" customHeight="1">
      <c r="A112" s="1">
        <v>42856.583333333336</v>
      </c>
      <c r="B112" s="2" t="s">
        <v>29</v>
      </c>
      <c r="C112" s="2">
        <v>39.0</v>
      </c>
      <c r="D112" s="3" t="s">
        <v>211</v>
      </c>
      <c r="E112" s="2" t="s">
        <v>212</v>
      </c>
      <c r="F112" s="2" t="s">
        <v>213</v>
      </c>
      <c r="G112" s="2">
        <v>70.0</v>
      </c>
      <c r="H112" s="2">
        <v>0.0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3.5" customHeight="1">
      <c r="A113" s="1">
        <v>42856.625</v>
      </c>
      <c r="B113" s="2" t="s">
        <v>87</v>
      </c>
      <c r="C113" s="2">
        <v>33.0</v>
      </c>
      <c r="D113" s="3" t="s">
        <v>214</v>
      </c>
      <c r="E113" s="2" t="s">
        <v>215</v>
      </c>
      <c r="F113" s="2" t="s">
        <v>216</v>
      </c>
      <c r="G113" s="2">
        <v>76.0</v>
      </c>
      <c r="H113" s="2">
        <v>0.0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3.5" customHeight="1">
      <c r="A114" s="1">
        <v>42856.666666666664</v>
      </c>
      <c r="B114" s="2" t="s">
        <v>87</v>
      </c>
      <c r="C114" s="2">
        <v>3.0</v>
      </c>
      <c r="D114" s="3">
        <v>1038.0</v>
      </c>
      <c r="E114" s="2" t="s">
        <v>8</v>
      </c>
      <c r="F114" s="2" t="s">
        <v>217</v>
      </c>
      <c r="G114" s="2">
        <v>74.0</v>
      </c>
      <c r="H114" s="2">
        <v>0.0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3.5" customHeight="1">
      <c r="A115" s="1">
        <v>42856.708333333336</v>
      </c>
      <c r="B115" s="2" t="s">
        <v>8</v>
      </c>
      <c r="C115" s="2">
        <v>0.0</v>
      </c>
      <c r="D115" s="3" t="s">
        <v>218</v>
      </c>
      <c r="E115" s="2">
        <v>0.0</v>
      </c>
      <c r="F115" s="2" t="s">
        <v>204</v>
      </c>
      <c r="G115" s="2">
        <v>81.0</v>
      </c>
      <c r="H115" s="2">
        <v>0.0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3.5" customHeight="1">
      <c r="A116" s="1">
        <v>42856.75</v>
      </c>
      <c r="B116" s="2" t="s">
        <v>101</v>
      </c>
      <c r="C116" s="2">
        <v>0.0</v>
      </c>
      <c r="D116" s="3" t="s">
        <v>219</v>
      </c>
      <c r="E116" s="2">
        <v>0.0</v>
      </c>
      <c r="F116" s="2" t="s">
        <v>220</v>
      </c>
      <c r="G116" s="2">
        <v>83.0</v>
      </c>
      <c r="H116" s="2">
        <v>0.0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3.5" customHeight="1">
      <c r="A117" s="1">
        <v>42856.791666666664</v>
      </c>
      <c r="B117" s="2" t="s">
        <v>112</v>
      </c>
      <c r="C117" s="2">
        <v>0.0</v>
      </c>
      <c r="D117" s="3" t="s">
        <v>221</v>
      </c>
      <c r="E117" s="2">
        <v>0.0</v>
      </c>
      <c r="F117" s="2" t="s">
        <v>222</v>
      </c>
      <c r="G117" s="2">
        <v>82.0</v>
      </c>
      <c r="H117" s="2">
        <v>0.0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3.5" customHeight="1">
      <c r="A118" s="1">
        <v>42856.833333333336</v>
      </c>
      <c r="B118" s="2" t="s">
        <v>43</v>
      </c>
      <c r="C118" s="2">
        <v>0.0</v>
      </c>
      <c r="D118" s="3" t="s">
        <v>223</v>
      </c>
      <c r="E118" s="2">
        <v>0.0</v>
      </c>
      <c r="F118" s="2" t="s">
        <v>224</v>
      </c>
      <c r="G118" s="2">
        <v>83.0</v>
      </c>
      <c r="H118" s="2">
        <v>0.0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3.5" customHeight="1">
      <c r="A119" s="1">
        <v>42856.875</v>
      </c>
      <c r="B119" s="2" t="s">
        <v>25</v>
      </c>
      <c r="C119" s="2">
        <v>0.0</v>
      </c>
      <c r="D119" s="3" t="s">
        <v>225</v>
      </c>
      <c r="E119" s="2">
        <v>0.0</v>
      </c>
      <c r="F119" s="2" t="s">
        <v>226</v>
      </c>
      <c r="G119" s="2">
        <v>83.0</v>
      </c>
      <c r="H119" s="2">
        <v>0.0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3.5" customHeight="1">
      <c r="A120" s="1">
        <v>42856.916666666664</v>
      </c>
      <c r="B120" s="2">
        <v>2.0</v>
      </c>
      <c r="C120" s="2">
        <v>0.0</v>
      </c>
      <c r="D120" s="3" t="s">
        <v>227</v>
      </c>
      <c r="E120" s="2">
        <v>0.0</v>
      </c>
      <c r="F120" s="2" t="s">
        <v>220</v>
      </c>
      <c r="G120" s="2">
        <v>83.0</v>
      </c>
      <c r="H120" s="2">
        <v>0.0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3.5" customHeight="1">
      <c r="A121" s="1">
        <v>42856.958333333336</v>
      </c>
      <c r="B121" s="2" t="s">
        <v>24</v>
      </c>
      <c r="C121" s="2">
        <v>0.0</v>
      </c>
      <c r="D121" s="3" t="s">
        <v>223</v>
      </c>
      <c r="E121" s="2">
        <v>0.0</v>
      </c>
      <c r="F121" s="2" t="s">
        <v>194</v>
      </c>
      <c r="G121" s="2">
        <v>81.0</v>
      </c>
      <c r="H121" s="2">
        <v>0.0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3.5" customHeight="1">
      <c r="A122" s="1">
        <v>42887.0</v>
      </c>
      <c r="B122" s="2" t="s">
        <v>101</v>
      </c>
      <c r="C122" s="2">
        <v>0.0</v>
      </c>
      <c r="D122" s="3" t="s">
        <v>219</v>
      </c>
      <c r="E122" s="2">
        <v>0.0</v>
      </c>
      <c r="F122" s="2">
        <v>-11.0</v>
      </c>
      <c r="G122" s="2">
        <v>83.0</v>
      </c>
      <c r="H122" s="2">
        <v>0.0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3.5" customHeight="1">
      <c r="A123" s="1">
        <v>42887.041666666664</v>
      </c>
      <c r="B123" s="2" t="s">
        <v>89</v>
      </c>
      <c r="C123" s="2">
        <v>0.0</v>
      </c>
      <c r="D123" s="3" t="s">
        <v>228</v>
      </c>
      <c r="E123" s="2">
        <v>0.0</v>
      </c>
      <c r="F123" s="2" t="s">
        <v>229</v>
      </c>
      <c r="G123" s="2">
        <v>85.0</v>
      </c>
      <c r="H123" s="2">
        <v>0.0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3.5" customHeight="1">
      <c r="A124" s="1">
        <v>42887.083333333336</v>
      </c>
      <c r="B124" s="2" t="s">
        <v>89</v>
      </c>
      <c r="C124" s="2">
        <v>0.0</v>
      </c>
      <c r="D124" s="3" t="s">
        <v>230</v>
      </c>
      <c r="E124" s="2">
        <v>0.0</v>
      </c>
      <c r="F124" s="2" t="s">
        <v>201</v>
      </c>
      <c r="G124" s="2">
        <v>85.0</v>
      </c>
      <c r="H124" s="2">
        <v>0.0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3.5" customHeight="1">
      <c r="A125" s="1">
        <v>42887.125</v>
      </c>
      <c r="B125" s="2" t="s">
        <v>17</v>
      </c>
      <c r="C125" s="2">
        <v>0.0</v>
      </c>
      <c r="D125" s="3" t="s">
        <v>231</v>
      </c>
      <c r="E125" s="2">
        <v>0.0</v>
      </c>
      <c r="F125" s="2" t="s">
        <v>229</v>
      </c>
      <c r="G125" s="2">
        <v>85.0</v>
      </c>
      <c r="H125" s="2">
        <v>0.0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3.5" customHeight="1">
      <c r="A126" s="1">
        <v>42887.166666666664</v>
      </c>
      <c r="B126" s="2" t="s">
        <v>25</v>
      </c>
      <c r="C126" s="2">
        <v>0.0</v>
      </c>
      <c r="D126" s="3" t="s">
        <v>232</v>
      </c>
      <c r="E126" s="2">
        <v>0.0</v>
      </c>
      <c r="F126" s="2" t="s">
        <v>233</v>
      </c>
      <c r="G126" s="2">
        <v>85.0</v>
      </c>
      <c r="H126" s="2">
        <v>0.0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3.5" customHeight="1">
      <c r="A127" s="1">
        <v>42887.208333333336</v>
      </c>
      <c r="B127" s="2" t="s">
        <v>43</v>
      </c>
      <c r="C127" s="2">
        <v>0.0</v>
      </c>
      <c r="D127" s="3">
        <v>1036.0</v>
      </c>
      <c r="E127" s="2">
        <v>0.0</v>
      </c>
      <c r="F127" s="2" t="s">
        <v>234</v>
      </c>
      <c r="G127" s="2">
        <v>85.0</v>
      </c>
      <c r="H127" s="2">
        <v>0.0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3.5" customHeight="1">
      <c r="A128" s="1">
        <v>42887.25</v>
      </c>
      <c r="B128" s="2" t="s">
        <v>40</v>
      </c>
      <c r="C128" s="2">
        <v>0.0</v>
      </c>
      <c r="D128" s="3" t="s">
        <v>235</v>
      </c>
      <c r="E128" s="2">
        <v>0.0</v>
      </c>
      <c r="F128" s="2" t="s">
        <v>236</v>
      </c>
      <c r="G128" s="2">
        <v>84.0</v>
      </c>
      <c r="H128" s="2">
        <v>0.0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3.5" customHeight="1">
      <c r="A129" s="1">
        <v>42887.291666666664</v>
      </c>
      <c r="B129" s="2" t="s">
        <v>37</v>
      </c>
      <c r="C129" s="2">
        <v>0.0</v>
      </c>
      <c r="D129" s="3">
        <v>1035.0</v>
      </c>
      <c r="E129" s="2">
        <v>0.0</v>
      </c>
      <c r="F129" s="2">
        <v>-11.0</v>
      </c>
      <c r="G129" s="2">
        <v>84.0</v>
      </c>
      <c r="H129" s="2">
        <v>0.0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3.5" customHeight="1">
      <c r="A130" s="1">
        <v>42887.333333333336</v>
      </c>
      <c r="B130" s="2" t="s">
        <v>66</v>
      </c>
      <c r="C130" s="2">
        <v>0.0</v>
      </c>
      <c r="D130" s="3" t="s">
        <v>237</v>
      </c>
      <c r="E130" s="2">
        <v>0.0</v>
      </c>
      <c r="F130" s="2" t="s">
        <v>194</v>
      </c>
      <c r="G130" s="2">
        <v>90.0</v>
      </c>
      <c r="H130" s="2">
        <v>0.0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3.5" customHeight="1">
      <c r="A131" s="1">
        <v>42887.375</v>
      </c>
      <c r="B131" s="2" t="s">
        <v>29</v>
      </c>
      <c r="C131" s="2">
        <v>0.0</v>
      </c>
      <c r="D131" s="3" t="s">
        <v>238</v>
      </c>
      <c r="E131" s="2">
        <v>0.0</v>
      </c>
      <c r="F131" s="2">
        <v>-10.0</v>
      </c>
      <c r="G131" s="2">
        <v>89.0</v>
      </c>
      <c r="H131" s="2">
        <v>0.0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3.5" customHeight="1">
      <c r="A132" s="1">
        <v>42887.416666666664</v>
      </c>
      <c r="B132" s="2" t="s">
        <v>71</v>
      </c>
      <c r="C132" s="2">
        <v>0.0</v>
      </c>
      <c r="D132" s="3" t="s">
        <v>239</v>
      </c>
      <c r="E132" s="2">
        <v>5.0</v>
      </c>
      <c r="F132" s="2" t="s">
        <v>189</v>
      </c>
      <c r="G132" s="2">
        <v>86.0</v>
      </c>
      <c r="H132" s="2">
        <v>0.0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3.5" customHeight="1">
      <c r="A133" s="1">
        <v>42887.458333333336</v>
      </c>
      <c r="B133" s="2" t="s">
        <v>40</v>
      </c>
      <c r="C133" s="2">
        <v>0.0</v>
      </c>
      <c r="D133" s="3" t="s">
        <v>240</v>
      </c>
      <c r="E133" s="2" t="s">
        <v>241</v>
      </c>
      <c r="F133" s="2" t="s">
        <v>180</v>
      </c>
      <c r="G133" s="2">
        <v>86.0</v>
      </c>
      <c r="H133" s="2">
        <v>0.0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3.5" customHeight="1">
      <c r="A134" s="1">
        <v>42887.5</v>
      </c>
      <c r="B134" s="2" t="s">
        <v>12</v>
      </c>
      <c r="C134" s="2">
        <v>0.0</v>
      </c>
      <c r="D134" s="3" t="s">
        <v>242</v>
      </c>
      <c r="E134" s="2" t="s">
        <v>243</v>
      </c>
      <c r="F134" s="2">
        <v>-5.0</v>
      </c>
      <c r="G134" s="2">
        <v>86.0</v>
      </c>
      <c r="H134" s="2">
        <v>0.0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3.5" customHeight="1">
      <c r="A135" s="1">
        <v>42887.541666666664</v>
      </c>
      <c r="B135" s="2" t="s">
        <v>17</v>
      </c>
      <c r="C135" s="2">
        <v>0.0</v>
      </c>
      <c r="D135" s="3" t="s">
        <v>244</v>
      </c>
      <c r="E135" s="2">
        <v>21.0</v>
      </c>
      <c r="F135" s="2" t="s">
        <v>110</v>
      </c>
      <c r="G135" s="2">
        <v>89.0</v>
      </c>
      <c r="H135" s="2">
        <v>0.0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3.5" customHeight="1">
      <c r="A136" s="1">
        <v>42887.583333333336</v>
      </c>
      <c r="B136" s="2" t="s">
        <v>64</v>
      </c>
      <c r="C136" s="2">
        <v>0.0</v>
      </c>
      <c r="D136" s="3" t="s">
        <v>245</v>
      </c>
      <c r="E136" s="2" t="s">
        <v>246</v>
      </c>
      <c r="F136" s="2" t="s">
        <v>100</v>
      </c>
      <c r="G136" s="2">
        <v>93.0</v>
      </c>
      <c r="H136" s="2">
        <v>0.0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3.5" customHeight="1">
      <c r="A137" s="1">
        <v>42887.625</v>
      </c>
      <c r="B137" s="2">
        <v>5.0</v>
      </c>
      <c r="C137" s="2">
        <v>0.0</v>
      </c>
      <c r="D137" s="3" t="s">
        <v>247</v>
      </c>
      <c r="E137" s="2" t="s">
        <v>101</v>
      </c>
      <c r="F137" s="2">
        <v>-2.0</v>
      </c>
      <c r="G137" s="2">
        <v>94.0</v>
      </c>
      <c r="H137" s="2">
        <v>0.0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3.5" customHeight="1">
      <c r="A138" s="1">
        <v>42887.666666666664</v>
      </c>
      <c r="B138" s="2" t="s">
        <v>137</v>
      </c>
      <c r="C138" s="2">
        <v>0.0</v>
      </c>
      <c r="D138" s="3">
        <v>1028.0</v>
      </c>
      <c r="E138" s="2">
        <v>0.0</v>
      </c>
      <c r="F138" s="2" t="s">
        <v>134</v>
      </c>
      <c r="G138" s="2">
        <v>93.0</v>
      </c>
      <c r="H138" s="2">
        <v>0.0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3.5" customHeight="1">
      <c r="A139" s="1">
        <v>42887.708333333336</v>
      </c>
      <c r="B139" s="2" t="s">
        <v>248</v>
      </c>
      <c r="C139" s="2">
        <v>0.0</v>
      </c>
      <c r="D139" s="3">
        <v>1027.0</v>
      </c>
      <c r="E139" s="2">
        <v>0.0</v>
      </c>
      <c r="F139" s="2" t="s">
        <v>19</v>
      </c>
      <c r="G139" s="2">
        <v>94.0</v>
      </c>
      <c r="H139" s="2">
        <v>0.0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3.5" customHeight="1">
      <c r="A140" s="1">
        <v>42887.75</v>
      </c>
      <c r="B140" s="2" t="s">
        <v>52</v>
      </c>
      <c r="C140" s="2">
        <v>0.0</v>
      </c>
      <c r="D140" s="3" t="s">
        <v>181</v>
      </c>
      <c r="E140" s="2">
        <v>0.0</v>
      </c>
      <c r="F140" s="2" t="s">
        <v>31</v>
      </c>
      <c r="G140" s="2">
        <v>95.0</v>
      </c>
      <c r="H140" s="2">
        <v>0.0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3.5" customHeight="1">
      <c r="A141" s="1">
        <v>42887.791666666664</v>
      </c>
      <c r="B141" s="2" t="s">
        <v>61</v>
      </c>
      <c r="C141" s="2">
        <v>0.0</v>
      </c>
      <c r="D141" s="3" t="s">
        <v>249</v>
      </c>
      <c r="E141" s="2">
        <v>0.0</v>
      </c>
      <c r="F141" s="2" t="s">
        <v>250</v>
      </c>
      <c r="G141" s="2">
        <v>97.0</v>
      </c>
      <c r="H141" s="2">
        <v>0.0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3.5" customHeight="1">
      <c r="A142" s="1">
        <v>42887.833333333336</v>
      </c>
      <c r="B142" s="2" t="s">
        <v>251</v>
      </c>
      <c r="C142" s="2">
        <v>0.0</v>
      </c>
      <c r="D142" s="3" t="s">
        <v>252</v>
      </c>
      <c r="E142" s="2">
        <v>0.0</v>
      </c>
      <c r="F142" s="2" t="s">
        <v>66</v>
      </c>
      <c r="G142" s="2">
        <v>98.0</v>
      </c>
      <c r="H142" s="2">
        <v>0.0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3.5" customHeight="1">
      <c r="A143" s="1">
        <v>42887.875</v>
      </c>
      <c r="B143" s="2">
        <v>5.0</v>
      </c>
      <c r="C143" s="2">
        <v>0.0</v>
      </c>
      <c r="D143" s="3" t="s">
        <v>253</v>
      </c>
      <c r="E143" s="2">
        <v>0.0</v>
      </c>
      <c r="F143" s="2" t="s">
        <v>24</v>
      </c>
      <c r="G143" s="2">
        <v>96.0</v>
      </c>
      <c r="H143" s="2">
        <v>0.0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3.5" customHeight="1">
      <c r="A144" s="1">
        <v>42887.916666666664</v>
      </c>
      <c r="B144" s="2" t="s">
        <v>254</v>
      </c>
      <c r="C144" s="2">
        <v>0.0</v>
      </c>
      <c r="D144" s="3" t="s">
        <v>255</v>
      </c>
      <c r="E144" s="2">
        <v>0.0</v>
      </c>
      <c r="F144" s="2" t="s">
        <v>138</v>
      </c>
      <c r="G144" s="2">
        <v>93.0</v>
      </c>
      <c r="H144" s="2">
        <v>0.0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3.5" customHeight="1">
      <c r="A145" s="1">
        <v>42887.958333333336</v>
      </c>
      <c r="B145" s="2" t="s">
        <v>251</v>
      </c>
      <c r="C145" s="2">
        <v>0.0</v>
      </c>
      <c r="D145" s="3" t="s">
        <v>256</v>
      </c>
      <c r="E145" s="2">
        <v>0.0</v>
      </c>
      <c r="F145" s="2" t="s">
        <v>50</v>
      </c>
      <c r="G145" s="2">
        <v>90.0</v>
      </c>
      <c r="H145" s="2">
        <v>0.0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3.5" customHeight="1">
      <c r="A146" s="1">
        <v>42917.0</v>
      </c>
      <c r="B146" s="2" t="s">
        <v>257</v>
      </c>
      <c r="C146" s="2">
        <v>0.0</v>
      </c>
      <c r="D146" s="3" t="s">
        <v>258</v>
      </c>
      <c r="E146" s="2">
        <v>0.0</v>
      </c>
      <c r="F146" s="2" t="s">
        <v>45</v>
      </c>
      <c r="G146" s="2">
        <v>89.0</v>
      </c>
      <c r="H146" s="2">
        <v>0.0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3.5" customHeight="1">
      <c r="A147" s="1">
        <v>42917.041666666664</v>
      </c>
      <c r="B147" s="2" t="s">
        <v>257</v>
      </c>
      <c r="C147" s="2">
        <v>0.0</v>
      </c>
      <c r="D147" s="3" t="s">
        <v>259</v>
      </c>
      <c r="E147" s="2">
        <v>0.0</v>
      </c>
      <c r="F147" s="2" t="s">
        <v>58</v>
      </c>
      <c r="G147" s="2">
        <v>90.0</v>
      </c>
      <c r="H147" s="2">
        <v>0.0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3.5" customHeight="1">
      <c r="A148" s="1">
        <v>42917.083333333336</v>
      </c>
      <c r="B148" s="2" t="s">
        <v>22</v>
      </c>
      <c r="C148" s="2">
        <v>0.0</v>
      </c>
      <c r="D148" s="3" t="s">
        <v>260</v>
      </c>
      <c r="E148" s="2">
        <v>0.0</v>
      </c>
      <c r="F148" s="2" t="s">
        <v>183</v>
      </c>
      <c r="G148" s="2">
        <v>90.0</v>
      </c>
      <c r="H148" s="2">
        <v>0.0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3.5" customHeight="1">
      <c r="A149" s="1">
        <v>42917.125</v>
      </c>
      <c r="B149" s="2" t="s">
        <v>58</v>
      </c>
      <c r="C149" s="2">
        <v>0.0</v>
      </c>
      <c r="D149" s="3" t="s">
        <v>261</v>
      </c>
      <c r="E149" s="2">
        <v>0.0</v>
      </c>
      <c r="F149" s="2" t="s">
        <v>183</v>
      </c>
      <c r="G149" s="2">
        <v>93.0</v>
      </c>
      <c r="H149" s="2">
        <v>0.0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3.5" customHeight="1">
      <c r="A150" s="1">
        <v>42917.166666666664</v>
      </c>
      <c r="B150" s="2" t="s">
        <v>71</v>
      </c>
      <c r="C150" s="2">
        <v>0.0</v>
      </c>
      <c r="D150" s="3" t="s">
        <v>262</v>
      </c>
      <c r="E150" s="2">
        <v>0.0</v>
      </c>
      <c r="F150" s="2" t="s">
        <v>138</v>
      </c>
      <c r="G150" s="2">
        <v>94.0</v>
      </c>
      <c r="H150" s="2">
        <v>0.0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3.5" customHeight="1">
      <c r="A151" s="1">
        <v>42917.208333333336</v>
      </c>
      <c r="B151" s="2" t="s">
        <v>66</v>
      </c>
      <c r="C151" s="2">
        <v>0.0</v>
      </c>
      <c r="D151" s="3" t="s">
        <v>263</v>
      </c>
      <c r="E151" s="2">
        <v>0.0</v>
      </c>
      <c r="F151" s="2" t="s">
        <v>37</v>
      </c>
      <c r="G151" s="2">
        <v>96.0</v>
      </c>
      <c r="H151" s="2">
        <v>0.0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3.5" customHeight="1">
      <c r="A152" s="1">
        <v>42917.25</v>
      </c>
      <c r="B152" s="2" t="s">
        <v>264</v>
      </c>
      <c r="C152" s="2">
        <v>0.0</v>
      </c>
      <c r="D152" s="3" t="s">
        <v>265</v>
      </c>
      <c r="E152" s="2">
        <v>0.0</v>
      </c>
      <c r="F152" s="2" t="s">
        <v>106</v>
      </c>
      <c r="G152" s="2">
        <v>97.0</v>
      </c>
      <c r="H152" s="2">
        <v>0.0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3.5" customHeight="1">
      <c r="A153" s="1">
        <v>42917.291666666664</v>
      </c>
      <c r="B153" s="2" t="s">
        <v>183</v>
      </c>
      <c r="C153" s="2">
        <v>0.0</v>
      </c>
      <c r="D153" s="3">
        <v>1017.0</v>
      </c>
      <c r="E153" s="2">
        <v>0.0</v>
      </c>
      <c r="F153" s="2" t="s">
        <v>8</v>
      </c>
      <c r="G153" s="2">
        <v>97.0</v>
      </c>
      <c r="H153" s="2">
        <v>0.0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3.5" customHeight="1">
      <c r="A154" s="1">
        <v>42917.333333333336</v>
      </c>
      <c r="B154" s="2" t="s">
        <v>257</v>
      </c>
      <c r="C154" s="2">
        <v>0.0</v>
      </c>
      <c r="D154" s="3" t="s">
        <v>266</v>
      </c>
      <c r="E154" s="2">
        <v>0.0</v>
      </c>
      <c r="F154" s="2" t="s">
        <v>66</v>
      </c>
      <c r="G154" s="2">
        <v>97.0</v>
      </c>
      <c r="H154" s="2">
        <v>0.0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3.5" customHeight="1">
      <c r="A155" s="1">
        <v>42917.375</v>
      </c>
      <c r="B155" s="2" t="s">
        <v>43</v>
      </c>
      <c r="C155" s="2">
        <v>0.0</v>
      </c>
      <c r="D155" s="3" t="s">
        <v>267</v>
      </c>
      <c r="E155" s="2">
        <v>0.0</v>
      </c>
      <c r="F155" s="2" t="s">
        <v>143</v>
      </c>
      <c r="G155" s="2">
        <v>96.0</v>
      </c>
      <c r="H155" s="2">
        <v>0.0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3.5" customHeight="1">
      <c r="A156" s="1">
        <v>42917.416666666664</v>
      </c>
      <c r="B156" s="2" t="s">
        <v>43</v>
      </c>
      <c r="C156" s="2">
        <v>0.0</v>
      </c>
      <c r="D156" s="3" t="s">
        <v>175</v>
      </c>
      <c r="E156" s="2" t="s">
        <v>183</v>
      </c>
      <c r="F156" s="2" t="s">
        <v>10</v>
      </c>
      <c r="G156" s="2">
        <v>92.0</v>
      </c>
      <c r="H156" s="2">
        <v>0.0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3.5" customHeight="1">
      <c r="A157" s="1">
        <v>42917.458333333336</v>
      </c>
      <c r="B157" s="2" t="s">
        <v>64</v>
      </c>
      <c r="C157" s="2">
        <v>0.0</v>
      </c>
      <c r="D157" s="3" t="s">
        <v>253</v>
      </c>
      <c r="E157" s="2" t="s">
        <v>268</v>
      </c>
      <c r="F157" s="2" t="s">
        <v>264</v>
      </c>
      <c r="G157" s="2">
        <v>83.0</v>
      </c>
      <c r="H157" s="2">
        <v>218.0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3.5" customHeight="1">
      <c r="A158" s="1">
        <v>42917.5</v>
      </c>
      <c r="B158" s="2">
        <v>1.0</v>
      </c>
      <c r="C158" s="2">
        <v>0.0</v>
      </c>
      <c r="D158" s="3">
        <v>1022.0</v>
      </c>
      <c r="E158" s="2">
        <v>60.0</v>
      </c>
      <c r="F158" s="2" t="s">
        <v>71</v>
      </c>
      <c r="G158" s="2">
        <v>85.0</v>
      </c>
      <c r="H158" s="2">
        <v>8301667.0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3.5" customHeight="1">
      <c r="A159" s="1">
        <v>42917.541666666664</v>
      </c>
      <c r="B159" s="2" t="s">
        <v>28</v>
      </c>
      <c r="C159" s="2">
        <v>60.0</v>
      </c>
      <c r="D159" s="3" t="s">
        <v>269</v>
      </c>
      <c r="E159" s="2" t="s">
        <v>270</v>
      </c>
      <c r="F159" s="2" t="s">
        <v>25</v>
      </c>
      <c r="G159" s="2">
        <v>82.0</v>
      </c>
      <c r="H159" s="2">
        <v>1.0951666E7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3.5" customHeight="1">
      <c r="A160" s="1">
        <v>42917.583333333336</v>
      </c>
      <c r="B160" s="2" t="s">
        <v>37</v>
      </c>
      <c r="C160" s="2">
        <v>60.0</v>
      </c>
      <c r="D160" s="3" t="s">
        <v>271</v>
      </c>
      <c r="E160" s="2" t="s">
        <v>272</v>
      </c>
      <c r="F160" s="2" t="s">
        <v>29</v>
      </c>
      <c r="G160" s="2">
        <v>82.0</v>
      </c>
      <c r="H160" s="2">
        <v>472.0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3.5" customHeight="1">
      <c r="A161" s="1">
        <v>42917.625</v>
      </c>
      <c r="B161" s="2" t="s">
        <v>24</v>
      </c>
      <c r="C161" s="2">
        <v>30.0</v>
      </c>
      <c r="D161" s="3" t="s">
        <v>273</v>
      </c>
      <c r="E161" s="2" t="s">
        <v>274</v>
      </c>
      <c r="F161" s="2" t="s">
        <v>8</v>
      </c>
      <c r="G161" s="2">
        <v>84.0</v>
      </c>
      <c r="H161" s="2">
        <v>1793333.0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3.5" customHeight="1">
      <c r="A162" s="1">
        <v>42917.666666666664</v>
      </c>
      <c r="B162" s="2" t="s">
        <v>8</v>
      </c>
      <c r="C162" s="2">
        <v>0.0</v>
      </c>
      <c r="D162" s="3" t="s">
        <v>275</v>
      </c>
      <c r="E162" s="2">
        <v>0.0</v>
      </c>
      <c r="F162" s="2" t="s">
        <v>127</v>
      </c>
      <c r="G162" s="2">
        <v>90.0</v>
      </c>
      <c r="H162" s="2">
        <v>0.0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3.5" customHeight="1">
      <c r="A163" s="1">
        <v>42917.708333333336</v>
      </c>
      <c r="B163" s="2" t="s">
        <v>87</v>
      </c>
      <c r="C163" s="2">
        <v>0.0</v>
      </c>
      <c r="D163" s="3" t="s">
        <v>276</v>
      </c>
      <c r="E163" s="2">
        <v>0.0</v>
      </c>
      <c r="F163" s="2">
        <v>-2.0</v>
      </c>
      <c r="G163" s="2">
        <v>88.0</v>
      </c>
      <c r="H163" s="2">
        <v>0.0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3.5" customHeight="1">
      <c r="A164" s="1">
        <v>42917.75</v>
      </c>
      <c r="B164" s="2" t="s">
        <v>25</v>
      </c>
      <c r="C164" s="2">
        <v>0.0</v>
      </c>
      <c r="D164" s="3" t="s">
        <v>181</v>
      </c>
      <c r="E164" s="2">
        <v>0.0</v>
      </c>
      <c r="F164" s="2" t="s">
        <v>277</v>
      </c>
      <c r="G164" s="2">
        <v>92.0</v>
      </c>
      <c r="H164" s="2">
        <v>0.0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3.5" customHeight="1">
      <c r="A165" s="1">
        <v>42917.791666666664</v>
      </c>
      <c r="B165" s="2" t="s">
        <v>37</v>
      </c>
      <c r="C165" s="2">
        <v>0.0</v>
      </c>
      <c r="D165" s="3" t="s">
        <v>278</v>
      </c>
      <c r="E165" s="2">
        <v>0.0</v>
      </c>
      <c r="F165" s="2" t="s">
        <v>279</v>
      </c>
      <c r="G165" s="2">
        <v>91.0</v>
      </c>
      <c r="H165" s="2">
        <v>0.0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3.5" customHeight="1">
      <c r="A166" s="1">
        <v>42917.833333333336</v>
      </c>
      <c r="B166" s="2" t="s">
        <v>40</v>
      </c>
      <c r="C166" s="2">
        <v>0.0</v>
      </c>
      <c r="D166" s="3" t="s">
        <v>280</v>
      </c>
      <c r="E166" s="2">
        <v>0.0</v>
      </c>
      <c r="F166" s="2" t="s">
        <v>116</v>
      </c>
      <c r="G166" s="2">
        <v>92.0</v>
      </c>
      <c r="H166" s="2">
        <v>0.0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3.5" customHeight="1">
      <c r="A167" s="1">
        <v>42917.875</v>
      </c>
      <c r="B167" s="2" t="s">
        <v>40</v>
      </c>
      <c r="C167" s="2">
        <v>0.0</v>
      </c>
      <c r="D167" s="3" t="s">
        <v>281</v>
      </c>
      <c r="E167" s="2">
        <v>0.0</v>
      </c>
      <c r="F167" s="2" t="s">
        <v>116</v>
      </c>
      <c r="G167" s="2">
        <v>91.0</v>
      </c>
      <c r="H167" s="2">
        <v>0.0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3.5" customHeight="1">
      <c r="A168" s="1">
        <v>42917.916666666664</v>
      </c>
      <c r="B168" s="2" t="s">
        <v>8</v>
      </c>
      <c r="C168" s="2">
        <v>0.0</v>
      </c>
      <c r="D168" s="3" t="s">
        <v>282</v>
      </c>
      <c r="E168" s="2">
        <v>0.0</v>
      </c>
      <c r="F168" s="2" t="s">
        <v>283</v>
      </c>
      <c r="G168" s="2">
        <v>92.0</v>
      </c>
      <c r="H168" s="2">
        <v>0.0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3.5" customHeight="1">
      <c r="A169" s="1">
        <v>42917.958333333336</v>
      </c>
      <c r="B169" s="2" t="s">
        <v>29</v>
      </c>
      <c r="C169" s="2">
        <v>0.0</v>
      </c>
      <c r="D169" s="3" t="s">
        <v>284</v>
      </c>
      <c r="E169" s="2">
        <v>0.0</v>
      </c>
      <c r="F169" s="2" t="s">
        <v>93</v>
      </c>
      <c r="G169" s="2">
        <v>92.0</v>
      </c>
      <c r="H169" s="2">
        <v>0.0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3.5" customHeight="1">
      <c r="A170" s="1">
        <v>42948.0</v>
      </c>
      <c r="B170" s="2" t="s">
        <v>24</v>
      </c>
      <c r="C170" s="2">
        <v>0.0</v>
      </c>
      <c r="D170" s="3" t="s">
        <v>184</v>
      </c>
      <c r="E170" s="2">
        <v>0.0</v>
      </c>
      <c r="F170" s="2" t="s">
        <v>285</v>
      </c>
      <c r="G170" s="2">
        <v>90.0</v>
      </c>
      <c r="H170" s="2">
        <v>0.0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3.5" customHeight="1">
      <c r="A171" s="1">
        <v>42948.041666666664</v>
      </c>
      <c r="B171" s="2" t="s">
        <v>87</v>
      </c>
      <c r="C171" s="2">
        <v>0.0</v>
      </c>
      <c r="D171" s="3">
        <v>1027.0</v>
      </c>
      <c r="E171" s="2">
        <v>0.0</v>
      </c>
      <c r="F171" s="2" t="s">
        <v>286</v>
      </c>
      <c r="G171" s="2">
        <v>92.0</v>
      </c>
      <c r="H171" s="2">
        <v>0.0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3.5" customHeight="1">
      <c r="A172" s="1">
        <v>42948.083333333336</v>
      </c>
      <c r="B172" s="2" t="s">
        <v>87</v>
      </c>
      <c r="C172" s="2">
        <v>0.0</v>
      </c>
      <c r="D172" s="3" t="s">
        <v>287</v>
      </c>
      <c r="E172" s="2">
        <v>0.0</v>
      </c>
      <c r="F172" s="2" t="s">
        <v>178</v>
      </c>
      <c r="G172" s="2">
        <v>92.0</v>
      </c>
      <c r="H172" s="2">
        <v>0.0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3.5" customHeight="1">
      <c r="A173" s="1">
        <v>42948.125</v>
      </c>
      <c r="B173" s="2" t="s">
        <v>106</v>
      </c>
      <c r="C173" s="2">
        <v>0.0</v>
      </c>
      <c r="D173" s="3" t="s">
        <v>280</v>
      </c>
      <c r="E173" s="2">
        <v>0.0</v>
      </c>
      <c r="F173" s="2" t="s">
        <v>288</v>
      </c>
      <c r="G173" s="2">
        <v>94.0</v>
      </c>
      <c r="H173" s="2">
        <v>0.0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3.5" customHeight="1">
      <c r="A174" s="1">
        <v>42948.166666666664</v>
      </c>
      <c r="B174" s="2" t="s">
        <v>264</v>
      </c>
      <c r="C174" s="2">
        <v>0.0</v>
      </c>
      <c r="D174" s="3" t="s">
        <v>278</v>
      </c>
      <c r="E174" s="2">
        <v>0.0</v>
      </c>
      <c r="F174" s="2">
        <v>-6.0</v>
      </c>
      <c r="G174" s="2">
        <v>92.0</v>
      </c>
      <c r="H174" s="2">
        <v>0.0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3.5" customHeight="1">
      <c r="A175" s="1">
        <v>42948.208333333336</v>
      </c>
      <c r="B175" s="2">
        <v>1.0</v>
      </c>
      <c r="C175" s="2">
        <v>0.0</v>
      </c>
      <c r="D175" s="3">
        <v>1025.0</v>
      </c>
      <c r="E175" s="2">
        <v>0.0</v>
      </c>
      <c r="F175" s="2">
        <v>-5.0</v>
      </c>
      <c r="G175" s="2">
        <v>95.0</v>
      </c>
      <c r="H175" s="2">
        <v>0.0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3.5" customHeight="1">
      <c r="A176" s="1">
        <v>42948.25</v>
      </c>
      <c r="B176" s="2" t="s">
        <v>264</v>
      </c>
      <c r="C176" s="2">
        <v>0.0</v>
      </c>
      <c r="D176" s="3" t="s">
        <v>289</v>
      </c>
      <c r="E176" s="2">
        <v>0.0</v>
      </c>
      <c r="F176" s="2" t="s">
        <v>283</v>
      </c>
      <c r="G176" s="2">
        <v>96.0</v>
      </c>
      <c r="H176" s="2">
        <v>0.0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3.5" customHeight="1">
      <c r="A177" s="1">
        <v>42948.291666666664</v>
      </c>
      <c r="B177" s="2" t="s">
        <v>66</v>
      </c>
      <c r="C177" s="2">
        <v>0.0</v>
      </c>
      <c r="D177" s="3" t="s">
        <v>290</v>
      </c>
      <c r="E177" s="2">
        <v>0.0</v>
      </c>
      <c r="F177" s="2" t="s">
        <v>102</v>
      </c>
      <c r="G177" s="2">
        <v>98.0</v>
      </c>
      <c r="H177" s="2">
        <v>0.0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3.5" customHeight="1">
      <c r="A178" s="1">
        <v>42948.333333333336</v>
      </c>
      <c r="B178" s="2" t="s">
        <v>37</v>
      </c>
      <c r="C178" s="2">
        <v>0.0</v>
      </c>
      <c r="D178" s="3" t="s">
        <v>291</v>
      </c>
      <c r="E178" s="2">
        <v>0.0</v>
      </c>
      <c r="F178" s="2" t="s">
        <v>91</v>
      </c>
      <c r="G178" s="2">
        <v>97.0</v>
      </c>
      <c r="H178" s="2">
        <v>0.0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3.5" customHeight="1">
      <c r="A179" s="1">
        <v>42948.375</v>
      </c>
      <c r="B179" s="2" t="s">
        <v>106</v>
      </c>
      <c r="C179" s="2">
        <v>0.0</v>
      </c>
      <c r="D179" s="3" t="s">
        <v>179</v>
      </c>
      <c r="E179" s="2">
        <v>0.0</v>
      </c>
      <c r="F179" s="2" t="s">
        <v>72</v>
      </c>
      <c r="G179" s="2">
        <v>98.0</v>
      </c>
      <c r="H179" s="2">
        <v>0.0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3.5" customHeight="1">
      <c r="A180" s="1">
        <v>42948.416666666664</v>
      </c>
      <c r="B180" s="2" t="s">
        <v>106</v>
      </c>
      <c r="C180" s="2">
        <v>0.0</v>
      </c>
      <c r="D180" s="3" t="s">
        <v>292</v>
      </c>
      <c r="E180" s="2">
        <v>0.0</v>
      </c>
      <c r="F180" s="2" t="s">
        <v>279</v>
      </c>
      <c r="G180" s="2">
        <v>97.0</v>
      </c>
      <c r="H180" s="2">
        <v>0.0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3.5" customHeight="1">
      <c r="A181" s="1">
        <v>42948.458333333336</v>
      </c>
      <c r="B181" s="2" t="s">
        <v>40</v>
      </c>
      <c r="C181" s="2">
        <v>0.0</v>
      </c>
      <c r="D181" s="3">
        <v>1023.0</v>
      </c>
      <c r="E181" s="2" t="s">
        <v>293</v>
      </c>
      <c r="F181" s="2" t="s">
        <v>279</v>
      </c>
      <c r="G181" s="2">
        <v>98.0</v>
      </c>
      <c r="H181" s="2">
        <v>1418333.0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3.5" customHeight="1">
      <c r="A182" s="1">
        <v>42948.5</v>
      </c>
      <c r="B182" s="2" t="s">
        <v>106</v>
      </c>
      <c r="C182" s="2">
        <v>0.0</v>
      </c>
      <c r="D182" s="3" t="s">
        <v>294</v>
      </c>
      <c r="E182" s="2" t="s">
        <v>295</v>
      </c>
      <c r="F182" s="2" t="s">
        <v>296</v>
      </c>
      <c r="G182" s="2">
        <v>98.0</v>
      </c>
      <c r="H182" s="2">
        <v>6998334.0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3.5" customHeight="1">
      <c r="A183" s="1">
        <v>42948.541666666664</v>
      </c>
      <c r="B183" s="2" t="s">
        <v>66</v>
      </c>
      <c r="C183" s="2">
        <v>0.0</v>
      </c>
      <c r="D183" s="3" t="s">
        <v>297</v>
      </c>
      <c r="E183" s="2" t="s">
        <v>298</v>
      </c>
      <c r="F183" s="2">
        <v>-2.0</v>
      </c>
      <c r="G183" s="2">
        <v>98.0</v>
      </c>
      <c r="H183" s="2">
        <v>1.3841667E7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3.5" customHeight="1">
      <c r="A184" s="1">
        <v>42948.583333333336</v>
      </c>
      <c r="B184" s="2" t="s">
        <v>264</v>
      </c>
      <c r="C184" s="2">
        <v>0.0</v>
      </c>
      <c r="D184" s="3" t="s">
        <v>299</v>
      </c>
      <c r="E184" s="2" t="s">
        <v>300</v>
      </c>
      <c r="F184" s="2" t="s">
        <v>36</v>
      </c>
      <c r="G184" s="2">
        <v>96.0</v>
      </c>
      <c r="H184" s="2">
        <v>432.0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3.5" customHeight="1">
      <c r="A185" s="1">
        <v>42948.625</v>
      </c>
      <c r="B185" s="2" t="s">
        <v>264</v>
      </c>
      <c r="C185" s="2">
        <v>0.0</v>
      </c>
      <c r="D185" s="3" t="s">
        <v>301</v>
      </c>
      <c r="E185" s="2" t="s">
        <v>302</v>
      </c>
      <c r="F185" s="2" t="s">
        <v>139</v>
      </c>
      <c r="G185" s="2">
        <v>96.0</v>
      </c>
      <c r="H185" s="2">
        <v>1064999.0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3.5" customHeight="1">
      <c r="A186" s="1">
        <v>42948.666666666664</v>
      </c>
      <c r="B186" s="2" t="s">
        <v>37</v>
      </c>
      <c r="C186" s="2">
        <v>0.0</v>
      </c>
      <c r="D186" s="3" t="s">
        <v>303</v>
      </c>
      <c r="E186" s="2">
        <v>0.0</v>
      </c>
      <c r="F186" s="2" t="s">
        <v>134</v>
      </c>
      <c r="G186" s="2">
        <v>96.0</v>
      </c>
      <c r="H186" s="2">
        <v>0.0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3.5" customHeight="1">
      <c r="A187" s="1">
        <v>42948.708333333336</v>
      </c>
      <c r="B187" s="2" t="s">
        <v>28</v>
      </c>
      <c r="C187" s="2">
        <v>0.0</v>
      </c>
      <c r="D187" s="3" t="s">
        <v>253</v>
      </c>
      <c r="E187" s="2">
        <v>0.0</v>
      </c>
      <c r="F187" s="2">
        <v>-2.0</v>
      </c>
      <c r="G187" s="2">
        <v>94.0</v>
      </c>
      <c r="H187" s="2">
        <v>0.0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3.5" customHeight="1">
      <c r="A188" s="1">
        <v>42948.75</v>
      </c>
      <c r="B188" s="2" t="s">
        <v>40</v>
      </c>
      <c r="C188" s="2">
        <v>0.0</v>
      </c>
      <c r="D188" s="3" t="s">
        <v>304</v>
      </c>
      <c r="E188" s="2">
        <v>0.0</v>
      </c>
      <c r="F188" s="2" t="s">
        <v>119</v>
      </c>
      <c r="G188" s="2">
        <v>94.0</v>
      </c>
      <c r="H188" s="2">
        <v>0.0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3.5" customHeight="1">
      <c r="A189" s="1">
        <v>42948.791666666664</v>
      </c>
      <c r="B189" s="2" t="s">
        <v>71</v>
      </c>
      <c r="C189" s="2">
        <v>0.0</v>
      </c>
      <c r="D189" s="3" t="s">
        <v>305</v>
      </c>
      <c r="E189" s="2">
        <v>0.0</v>
      </c>
      <c r="F189" s="2" t="s">
        <v>277</v>
      </c>
      <c r="G189" s="2">
        <v>96.0</v>
      </c>
      <c r="H189" s="2">
        <v>0.0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3.5" customHeight="1">
      <c r="A190" s="1">
        <v>42948.833333333336</v>
      </c>
      <c r="B190" s="2" t="s">
        <v>106</v>
      </c>
      <c r="C190" s="2">
        <v>0.0</v>
      </c>
      <c r="D190" s="3" t="s">
        <v>255</v>
      </c>
      <c r="E190" s="2">
        <v>0.0</v>
      </c>
      <c r="F190" s="2" t="s">
        <v>306</v>
      </c>
      <c r="G190" s="2">
        <v>96.0</v>
      </c>
      <c r="H190" s="2">
        <v>0.0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3.5" customHeight="1">
      <c r="A191" s="1">
        <v>42948.875</v>
      </c>
      <c r="B191" s="2" t="s">
        <v>8</v>
      </c>
      <c r="C191" s="2">
        <v>0.0</v>
      </c>
      <c r="D191" s="3" t="s">
        <v>307</v>
      </c>
      <c r="E191" s="2">
        <v>0.0</v>
      </c>
      <c r="F191" s="2" t="s">
        <v>277</v>
      </c>
      <c r="G191" s="2">
        <v>97.0</v>
      </c>
      <c r="H191" s="2">
        <v>0.0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3.5" customHeight="1">
      <c r="A192" s="1">
        <v>42948.916666666664</v>
      </c>
      <c r="B192" s="2" t="s">
        <v>10</v>
      </c>
      <c r="C192" s="2">
        <v>0.0</v>
      </c>
      <c r="D192" s="3" t="s">
        <v>307</v>
      </c>
      <c r="E192" s="2">
        <v>0.0</v>
      </c>
      <c r="F192" s="2" t="s">
        <v>119</v>
      </c>
      <c r="G192" s="2">
        <v>97.0</v>
      </c>
      <c r="H192" s="2">
        <v>0.0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3.5" customHeight="1">
      <c r="A193" s="1">
        <v>42948.958333333336</v>
      </c>
      <c r="B193" s="2" t="s">
        <v>87</v>
      </c>
      <c r="C193" s="2">
        <v>0.0</v>
      </c>
      <c r="D193" s="3" t="s">
        <v>256</v>
      </c>
      <c r="E193" s="2">
        <v>0.0</v>
      </c>
      <c r="F193" s="2" t="s">
        <v>136</v>
      </c>
      <c r="G193" s="2">
        <v>98.0</v>
      </c>
      <c r="H193" s="2">
        <v>0.0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3.5" customHeight="1">
      <c r="A194" s="1">
        <v>42979.0</v>
      </c>
      <c r="B194" s="2" t="s">
        <v>37</v>
      </c>
      <c r="C194" s="2">
        <v>0.0</v>
      </c>
      <c r="D194" s="3" t="s">
        <v>267</v>
      </c>
      <c r="E194" s="2">
        <v>0.0</v>
      </c>
      <c r="F194" s="2" t="s">
        <v>277</v>
      </c>
      <c r="G194" s="2">
        <v>97.0</v>
      </c>
      <c r="H194" s="2">
        <v>0.0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3.5" customHeight="1">
      <c r="A195" s="1">
        <v>42979.041666666664</v>
      </c>
      <c r="B195" s="2" t="s">
        <v>71</v>
      </c>
      <c r="C195" s="2">
        <v>0.0</v>
      </c>
      <c r="D195" s="3" t="s">
        <v>256</v>
      </c>
      <c r="E195" s="2">
        <v>0.0</v>
      </c>
      <c r="F195" s="2" t="s">
        <v>277</v>
      </c>
      <c r="G195" s="2">
        <v>97.0</v>
      </c>
      <c r="H195" s="2">
        <v>0.0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3.5" customHeight="1">
      <c r="A196" s="1">
        <v>42979.083333333336</v>
      </c>
      <c r="B196" s="2" t="s">
        <v>43</v>
      </c>
      <c r="C196" s="2">
        <v>0.0</v>
      </c>
      <c r="D196" s="3" t="s">
        <v>308</v>
      </c>
      <c r="E196" s="2">
        <v>0.0</v>
      </c>
      <c r="F196" s="2" t="s">
        <v>296</v>
      </c>
      <c r="G196" s="2">
        <v>95.0</v>
      </c>
      <c r="H196" s="2">
        <v>0.0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3.5" customHeight="1">
      <c r="A197" s="1">
        <v>42979.125</v>
      </c>
      <c r="B197" s="2" t="s">
        <v>50</v>
      </c>
      <c r="C197" s="2">
        <v>0.0</v>
      </c>
      <c r="D197" s="3" t="s">
        <v>309</v>
      </c>
      <c r="E197" s="2">
        <v>0.0</v>
      </c>
      <c r="F197" s="2" t="s">
        <v>36</v>
      </c>
      <c r="G197" s="2">
        <v>94.0</v>
      </c>
      <c r="H197" s="2">
        <v>0.0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3.5" customHeight="1">
      <c r="A198" s="1">
        <v>42979.166666666664</v>
      </c>
      <c r="B198" s="2" t="s">
        <v>87</v>
      </c>
      <c r="C198" s="2">
        <v>0.0</v>
      </c>
      <c r="D198" s="3" t="s">
        <v>310</v>
      </c>
      <c r="E198" s="2">
        <v>0.0</v>
      </c>
      <c r="F198" s="2" t="s">
        <v>119</v>
      </c>
      <c r="G198" s="2">
        <v>94.0</v>
      </c>
      <c r="H198" s="2">
        <v>0.0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3.5" customHeight="1">
      <c r="A199" s="1">
        <v>42979.208333333336</v>
      </c>
      <c r="B199" s="2" t="s">
        <v>66</v>
      </c>
      <c r="C199" s="2">
        <v>0.0</v>
      </c>
      <c r="D199" s="3" t="s">
        <v>311</v>
      </c>
      <c r="E199" s="2">
        <v>0.0</v>
      </c>
      <c r="F199" s="2" t="s">
        <v>296</v>
      </c>
      <c r="G199" s="2">
        <v>96.0</v>
      </c>
      <c r="H199" s="2">
        <v>0.0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3.5" customHeight="1">
      <c r="A200" s="1">
        <v>42979.25</v>
      </c>
      <c r="B200" s="2" t="s">
        <v>264</v>
      </c>
      <c r="C200" s="2">
        <v>0.0</v>
      </c>
      <c r="D200" s="3" t="s">
        <v>263</v>
      </c>
      <c r="E200" s="2">
        <v>0.0</v>
      </c>
      <c r="F200" s="2" t="s">
        <v>277</v>
      </c>
      <c r="G200" s="2">
        <v>96.0</v>
      </c>
      <c r="H200" s="2">
        <v>0.0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3.5" customHeight="1">
      <c r="A201" s="1">
        <v>42979.291666666664</v>
      </c>
      <c r="B201" s="2" t="s">
        <v>28</v>
      </c>
      <c r="C201" s="2">
        <v>0.0</v>
      </c>
      <c r="D201" s="3" t="s">
        <v>312</v>
      </c>
      <c r="E201" s="2">
        <v>0.0</v>
      </c>
      <c r="F201" s="2" t="s">
        <v>139</v>
      </c>
      <c r="G201" s="2">
        <v>95.0</v>
      </c>
      <c r="H201" s="2">
        <v>0.0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3.5" customHeight="1">
      <c r="A202" s="1">
        <v>42979.333333333336</v>
      </c>
      <c r="B202" s="2" t="s">
        <v>37</v>
      </c>
      <c r="C202" s="2">
        <v>0.0</v>
      </c>
      <c r="D202" s="3">
        <v>1015.0</v>
      </c>
      <c r="E202" s="2">
        <v>0.0</v>
      </c>
      <c r="F202" s="2" t="s">
        <v>19</v>
      </c>
      <c r="G202" s="2">
        <v>96.0</v>
      </c>
      <c r="H202" s="2">
        <v>0.0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3.5" customHeight="1">
      <c r="A203" s="1">
        <v>42979.375</v>
      </c>
      <c r="B203" s="2" t="s">
        <v>71</v>
      </c>
      <c r="C203" s="2">
        <v>0.0</v>
      </c>
      <c r="D203" s="3" t="s">
        <v>313</v>
      </c>
      <c r="E203" s="2">
        <v>0.0</v>
      </c>
      <c r="F203" s="2" t="s">
        <v>250</v>
      </c>
      <c r="G203" s="2">
        <v>98.0</v>
      </c>
      <c r="H203" s="2">
        <v>0.0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3.5" customHeight="1">
      <c r="A204" s="1">
        <v>42979.416666666664</v>
      </c>
      <c r="B204" s="2" t="s">
        <v>25</v>
      </c>
      <c r="C204" s="2">
        <v>0.0</v>
      </c>
      <c r="D204" s="3" t="s">
        <v>314</v>
      </c>
      <c r="E204" s="2">
        <v>0.0</v>
      </c>
      <c r="F204" s="2" t="s">
        <v>250</v>
      </c>
      <c r="G204" s="2">
        <v>98.0</v>
      </c>
      <c r="H204" s="2">
        <v>0.0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3.5" customHeight="1">
      <c r="A205" s="1">
        <v>42979.458333333336</v>
      </c>
      <c r="B205" s="2" t="s">
        <v>264</v>
      </c>
      <c r="C205" s="2">
        <v>0.0</v>
      </c>
      <c r="D205" s="3" t="s">
        <v>65</v>
      </c>
      <c r="E205" s="2" t="s">
        <v>315</v>
      </c>
      <c r="F205" s="2" t="s">
        <v>316</v>
      </c>
      <c r="G205" s="2">
        <v>99.0</v>
      </c>
      <c r="H205" s="2">
        <v>80.0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3.5" customHeight="1">
      <c r="A206" s="1">
        <v>42979.5</v>
      </c>
      <c r="B206" s="2" t="s">
        <v>37</v>
      </c>
      <c r="C206" s="2">
        <v>0.0</v>
      </c>
      <c r="D206" s="3" t="s">
        <v>75</v>
      </c>
      <c r="E206" s="2" t="s">
        <v>241</v>
      </c>
      <c r="F206" s="2" t="s">
        <v>86</v>
      </c>
      <c r="G206" s="2">
        <v>99.0</v>
      </c>
      <c r="H206" s="2">
        <v>1638333.0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3.5" customHeight="1">
      <c r="A207" s="1">
        <v>42979.541666666664</v>
      </c>
      <c r="B207" s="2" t="s">
        <v>264</v>
      </c>
      <c r="C207" s="2">
        <v>0.0</v>
      </c>
      <c r="D207" s="3" t="s">
        <v>85</v>
      </c>
      <c r="E207" s="2" t="s">
        <v>317</v>
      </c>
      <c r="F207" s="2" t="s">
        <v>112</v>
      </c>
      <c r="G207" s="2">
        <v>99.0</v>
      </c>
      <c r="H207" s="2">
        <v>208.0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3.5" customHeight="1">
      <c r="A208" s="1">
        <v>42979.583333333336</v>
      </c>
      <c r="B208" s="2" t="s">
        <v>8</v>
      </c>
      <c r="C208" s="2">
        <v>0.0</v>
      </c>
      <c r="D208" s="3" t="s">
        <v>318</v>
      </c>
      <c r="E208" s="2" t="s">
        <v>167</v>
      </c>
      <c r="F208" s="2" t="s">
        <v>8</v>
      </c>
      <c r="G208" s="2">
        <v>99.0</v>
      </c>
      <c r="H208" s="2">
        <v>1125001.0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3.5" customHeight="1">
      <c r="A209" s="1">
        <v>42979.625</v>
      </c>
      <c r="B209" s="2" t="s">
        <v>40</v>
      </c>
      <c r="C209" s="2">
        <v>0.0</v>
      </c>
      <c r="D209" s="3" t="s">
        <v>164</v>
      </c>
      <c r="E209" s="2" t="s">
        <v>54</v>
      </c>
      <c r="F209" s="2" t="s">
        <v>40</v>
      </c>
      <c r="G209" s="2">
        <v>99.0</v>
      </c>
      <c r="H209" s="2">
        <v>32.0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3.5" customHeight="1">
      <c r="A210" s="1">
        <v>42979.666666666664</v>
      </c>
      <c r="B210" s="2" t="s">
        <v>8</v>
      </c>
      <c r="C210" s="2">
        <v>0.0</v>
      </c>
      <c r="D210" s="3" t="s">
        <v>319</v>
      </c>
      <c r="E210" s="2">
        <v>0.0</v>
      </c>
      <c r="F210" s="2" t="s">
        <v>87</v>
      </c>
      <c r="G210" s="2">
        <v>99.0</v>
      </c>
      <c r="H210" s="2">
        <v>0.0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3.5" customHeight="1">
      <c r="A211" s="1">
        <v>42979.708333333336</v>
      </c>
      <c r="B211" s="2" t="s">
        <v>43</v>
      </c>
      <c r="C211" s="2">
        <v>0.0</v>
      </c>
      <c r="D211" s="3" t="s">
        <v>320</v>
      </c>
      <c r="E211" s="2">
        <v>0.0</v>
      </c>
      <c r="F211" s="2" t="s">
        <v>138</v>
      </c>
      <c r="G211" s="2">
        <v>99.0</v>
      </c>
      <c r="H211" s="2">
        <v>0.0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3.5" customHeight="1">
      <c r="A212" s="1">
        <v>42979.75</v>
      </c>
      <c r="B212" s="2" t="s">
        <v>8</v>
      </c>
      <c r="C212" s="2">
        <v>0.0</v>
      </c>
      <c r="D212" s="3" t="s">
        <v>105</v>
      </c>
      <c r="E212" s="2">
        <v>0.0</v>
      </c>
      <c r="F212" s="2" t="s">
        <v>17</v>
      </c>
      <c r="G212" s="2">
        <v>99.0</v>
      </c>
      <c r="H212" s="2">
        <v>0.0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3.5" customHeight="1">
      <c r="A213" s="1">
        <v>42979.791666666664</v>
      </c>
      <c r="B213" s="2" t="s">
        <v>29</v>
      </c>
      <c r="C213" s="2">
        <v>0.0</v>
      </c>
      <c r="D213" s="3" t="s">
        <v>321</v>
      </c>
      <c r="E213" s="2">
        <v>0.0</v>
      </c>
      <c r="F213" s="2" t="s">
        <v>64</v>
      </c>
      <c r="G213" s="2">
        <v>99.0</v>
      </c>
      <c r="H213" s="2">
        <v>0.0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3.5" customHeight="1">
      <c r="A214" s="1">
        <v>42979.833333333336</v>
      </c>
      <c r="B214" s="2" t="s">
        <v>137</v>
      </c>
      <c r="C214" s="2">
        <v>0.0</v>
      </c>
      <c r="D214" s="3" t="s">
        <v>322</v>
      </c>
      <c r="E214" s="2">
        <v>0.0</v>
      </c>
      <c r="F214" s="2" t="s">
        <v>52</v>
      </c>
      <c r="G214" s="2">
        <v>99.0</v>
      </c>
      <c r="H214" s="2">
        <v>0.0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3.5" customHeight="1">
      <c r="A215" s="1">
        <v>42979.875</v>
      </c>
      <c r="B215" s="2" t="s">
        <v>323</v>
      </c>
      <c r="C215" s="2">
        <v>0.0</v>
      </c>
      <c r="D215" s="3" t="s">
        <v>41</v>
      </c>
      <c r="E215" s="2">
        <v>0.0</v>
      </c>
      <c r="F215" s="2" t="s">
        <v>324</v>
      </c>
      <c r="G215" s="2">
        <v>100.0</v>
      </c>
      <c r="H215" s="2">
        <v>0.0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3.5" customHeight="1">
      <c r="A216" s="1">
        <v>42979.916666666664</v>
      </c>
      <c r="B216" s="2" t="s">
        <v>141</v>
      </c>
      <c r="C216" s="2">
        <v>0.0</v>
      </c>
      <c r="D216" s="3" t="s">
        <v>325</v>
      </c>
      <c r="E216" s="2">
        <v>0.0</v>
      </c>
      <c r="F216" s="2" t="s">
        <v>326</v>
      </c>
      <c r="G216" s="2">
        <v>99.0</v>
      </c>
      <c r="H216" s="2">
        <v>0.0</v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3.5" customHeight="1">
      <c r="A217" s="1">
        <v>42979.958333333336</v>
      </c>
      <c r="B217" s="2" t="s">
        <v>324</v>
      </c>
      <c r="C217" s="2">
        <v>0.0</v>
      </c>
      <c r="D217" s="3" t="s">
        <v>327</v>
      </c>
      <c r="E217" s="2">
        <v>0.0</v>
      </c>
      <c r="F217" s="2" t="s">
        <v>328</v>
      </c>
      <c r="G217" s="2">
        <v>98.0</v>
      </c>
      <c r="H217" s="2">
        <v>0.0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3.5" customHeight="1">
      <c r="A218" s="1">
        <v>43009.0</v>
      </c>
      <c r="B218" s="2" t="s">
        <v>323</v>
      </c>
      <c r="C218" s="2">
        <v>0.0</v>
      </c>
      <c r="D218" s="3" t="s">
        <v>329</v>
      </c>
      <c r="E218" s="2">
        <v>0.0</v>
      </c>
      <c r="F218" s="2" t="s">
        <v>248</v>
      </c>
      <c r="G218" s="2">
        <v>97.0</v>
      </c>
      <c r="H218" s="2">
        <v>0.0</v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3.5" customHeight="1">
      <c r="A219" s="1">
        <v>43009.041666666664</v>
      </c>
      <c r="B219" s="2" t="s">
        <v>56</v>
      </c>
      <c r="C219" s="2">
        <v>0.0</v>
      </c>
      <c r="D219" s="3" t="s">
        <v>330</v>
      </c>
      <c r="E219" s="2">
        <v>0.0</v>
      </c>
      <c r="F219" s="2" t="s">
        <v>52</v>
      </c>
      <c r="G219" s="2">
        <v>97.0</v>
      </c>
      <c r="H219" s="2">
        <v>0.0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3.5" customHeight="1">
      <c r="A220" s="1">
        <v>43009.083333333336</v>
      </c>
      <c r="B220" s="2" t="s">
        <v>248</v>
      </c>
      <c r="C220" s="2">
        <v>0.0</v>
      </c>
      <c r="D220" s="3" t="s">
        <v>331</v>
      </c>
      <c r="E220" s="2">
        <v>0.0</v>
      </c>
      <c r="F220" s="2" t="s">
        <v>332</v>
      </c>
      <c r="G220" s="2">
        <v>96.0</v>
      </c>
      <c r="H220" s="2">
        <v>0.0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3.5" customHeight="1">
      <c r="A221" s="1">
        <v>43009.125</v>
      </c>
      <c r="B221" s="2">
        <v>4.0</v>
      </c>
      <c r="C221" s="2">
        <v>0.0</v>
      </c>
      <c r="D221" s="3" t="s">
        <v>333</v>
      </c>
      <c r="E221" s="2">
        <v>0.0</v>
      </c>
      <c r="F221" s="2" t="s">
        <v>54</v>
      </c>
      <c r="G221" s="2">
        <v>95.0</v>
      </c>
      <c r="H221" s="2">
        <v>0.0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3.5" customHeight="1">
      <c r="A222" s="1">
        <v>43009.166666666664</v>
      </c>
      <c r="B222" s="2" t="s">
        <v>257</v>
      </c>
      <c r="C222" s="2">
        <v>0.0</v>
      </c>
      <c r="D222" s="3" t="s">
        <v>9</v>
      </c>
      <c r="E222" s="2">
        <v>0.0</v>
      </c>
      <c r="F222" s="2" t="s">
        <v>58</v>
      </c>
      <c r="G222" s="2">
        <v>96.0</v>
      </c>
      <c r="H222" s="2">
        <v>0.0</v>
      </c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3.5" customHeight="1">
      <c r="A223" s="1">
        <v>43009.208333333336</v>
      </c>
      <c r="B223" s="2" t="s">
        <v>257</v>
      </c>
      <c r="C223" s="2">
        <v>0.0</v>
      </c>
      <c r="D223" s="3" t="s">
        <v>13</v>
      </c>
      <c r="E223" s="2">
        <v>0.0</v>
      </c>
      <c r="F223" s="2" t="s">
        <v>17</v>
      </c>
      <c r="G223" s="2">
        <v>96.0</v>
      </c>
      <c r="H223" s="2">
        <v>0.0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3.5" customHeight="1">
      <c r="A224" s="1">
        <v>43009.25</v>
      </c>
      <c r="B224" s="2" t="s">
        <v>328</v>
      </c>
      <c r="C224" s="2">
        <v>0.0</v>
      </c>
      <c r="D224" s="3" t="s">
        <v>18</v>
      </c>
      <c r="E224" s="2">
        <v>0.0</v>
      </c>
      <c r="F224" s="2" t="s">
        <v>138</v>
      </c>
      <c r="G224" s="2">
        <v>96.0</v>
      </c>
      <c r="H224" s="2">
        <v>0.0</v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3.5" customHeight="1">
      <c r="A225" s="1">
        <v>43009.291666666664</v>
      </c>
      <c r="B225" s="2" t="s">
        <v>52</v>
      </c>
      <c r="C225" s="2">
        <v>0.0</v>
      </c>
      <c r="D225" s="3" t="s">
        <v>18</v>
      </c>
      <c r="E225" s="2">
        <v>0.0</v>
      </c>
      <c r="F225" s="2">
        <v>2.0</v>
      </c>
      <c r="G225" s="2">
        <v>96.0</v>
      </c>
      <c r="H225" s="2">
        <v>0.0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3.5" customHeight="1">
      <c r="A226" s="1">
        <v>43009.333333333336</v>
      </c>
      <c r="B226" s="2">
        <v>3.0</v>
      </c>
      <c r="C226" s="2">
        <v>0.0</v>
      </c>
      <c r="D226" s="3" t="s">
        <v>13</v>
      </c>
      <c r="E226" s="2">
        <v>0.0</v>
      </c>
      <c r="F226" s="2" t="s">
        <v>101</v>
      </c>
      <c r="G226" s="2">
        <v>96.0</v>
      </c>
      <c r="H226" s="2">
        <v>0.0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3.5" customHeight="1">
      <c r="A227" s="1">
        <v>43009.375</v>
      </c>
      <c r="B227" s="2" t="s">
        <v>183</v>
      </c>
      <c r="C227" s="2">
        <v>0.0</v>
      </c>
      <c r="D227" s="3" t="s">
        <v>334</v>
      </c>
      <c r="E227" s="2">
        <v>0.0</v>
      </c>
      <c r="F227" s="2" t="s">
        <v>12</v>
      </c>
      <c r="G227" s="2">
        <v>96.0</v>
      </c>
      <c r="H227" s="2">
        <v>0.0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3.5" customHeight="1">
      <c r="A228" s="1">
        <v>43009.416666666664</v>
      </c>
      <c r="B228" s="2" t="s">
        <v>45</v>
      </c>
      <c r="C228" s="2">
        <v>0.0</v>
      </c>
      <c r="D228" s="3" t="s">
        <v>18</v>
      </c>
      <c r="E228" s="2">
        <v>0.0</v>
      </c>
      <c r="F228" s="2" t="s">
        <v>87</v>
      </c>
      <c r="G228" s="2">
        <v>95.0</v>
      </c>
      <c r="H228" s="2">
        <v>0.0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3.5" customHeight="1">
      <c r="A229" s="1">
        <v>43009.458333333336</v>
      </c>
      <c r="B229" s="2" t="s">
        <v>251</v>
      </c>
      <c r="C229" s="2">
        <v>0.0</v>
      </c>
      <c r="D229" s="3" t="s">
        <v>335</v>
      </c>
      <c r="E229" s="2">
        <v>23.0</v>
      </c>
      <c r="F229" s="2" t="s">
        <v>12</v>
      </c>
      <c r="G229" s="2">
        <v>94.0</v>
      </c>
      <c r="H229" s="2">
        <v>6604999.0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3.5" customHeight="1">
      <c r="A230" s="1">
        <v>43009.5</v>
      </c>
      <c r="B230" s="2" t="s">
        <v>326</v>
      </c>
      <c r="C230" s="2">
        <v>0.0</v>
      </c>
      <c r="D230" s="3" t="s">
        <v>336</v>
      </c>
      <c r="E230" s="2" t="s">
        <v>241</v>
      </c>
      <c r="F230" s="2" t="s">
        <v>87</v>
      </c>
      <c r="G230" s="2">
        <v>94.0</v>
      </c>
      <c r="H230" s="2">
        <v>3971667.0</v>
      </c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3.5" customHeight="1">
      <c r="A231" s="1">
        <v>43009.541666666664</v>
      </c>
      <c r="B231" s="2" t="s">
        <v>52</v>
      </c>
      <c r="C231" s="2">
        <v>0.0</v>
      </c>
      <c r="D231" s="3" t="s">
        <v>337</v>
      </c>
      <c r="E231" s="2">
        <v>14.0</v>
      </c>
      <c r="F231" s="2" t="s">
        <v>25</v>
      </c>
      <c r="G231" s="2">
        <v>95.0</v>
      </c>
      <c r="H231" s="2">
        <v>2961667.0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3.5" customHeight="1">
      <c r="A232" s="1">
        <v>43009.583333333336</v>
      </c>
      <c r="B232" s="2" t="s">
        <v>54</v>
      </c>
      <c r="C232" s="2">
        <v>0.0</v>
      </c>
      <c r="D232" s="3" t="s">
        <v>338</v>
      </c>
      <c r="E232" s="2" t="s">
        <v>168</v>
      </c>
      <c r="F232" s="2" t="s">
        <v>24</v>
      </c>
      <c r="G232" s="2">
        <v>95.0</v>
      </c>
      <c r="H232" s="2">
        <v>1626667.0</v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3.5" customHeight="1">
      <c r="A233" s="1">
        <v>43009.625</v>
      </c>
      <c r="B233" s="2" t="s">
        <v>52</v>
      </c>
      <c r="C233" s="2">
        <v>0.0</v>
      </c>
      <c r="D233" s="3" t="s">
        <v>339</v>
      </c>
      <c r="E233" s="2">
        <v>0.0</v>
      </c>
      <c r="F233" s="2" t="s">
        <v>29</v>
      </c>
      <c r="G233" s="2">
        <v>95.0</v>
      </c>
      <c r="H233" s="2">
        <v>12.0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3.5" customHeight="1">
      <c r="A234" s="1">
        <v>43009.666666666664</v>
      </c>
      <c r="B234" s="2" t="s">
        <v>54</v>
      </c>
      <c r="C234" s="2">
        <v>0.0</v>
      </c>
      <c r="D234" s="3" t="s">
        <v>340</v>
      </c>
      <c r="E234" s="2">
        <v>0.0</v>
      </c>
      <c r="F234" s="2" t="s">
        <v>87</v>
      </c>
      <c r="G234" s="2">
        <v>96.0</v>
      </c>
      <c r="H234" s="2">
        <v>0.0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3.5" customHeight="1">
      <c r="A235" s="1">
        <v>43009.708333333336</v>
      </c>
      <c r="B235" s="2">
        <v>3.0</v>
      </c>
      <c r="C235" s="2">
        <v>0.0</v>
      </c>
      <c r="D235" s="3">
        <v>1000.0</v>
      </c>
      <c r="E235" s="2">
        <v>0.0</v>
      </c>
      <c r="F235" s="2" t="s">
        <v>138</v>
      </c>
      <c r="G235" s="2">
        <v>96.0</v>
      </c>
      <c r="H235" s="2">
        <v>0.0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3.5" customHeight="1">
      <c r="A236" s="1">
        <v>43009.75</v>
      </c>
      <c r="B236" s="2" t="s">
        <v>257</v>
      </c>
      <c r="C236" s="2">
        <v>0.0</v>
      </c>
      <c r="D236" s="3" t="s">
        <v>341</v>
      </c>
      <c r="E236" s="2">
        <v>0.0</v>
      </c>
      <c r="F236" s="2" t="s">
        <v>183</v>
      </c>
      <c r="G236" s="2">
        <v>97.0</v>
      </c>
      <c r="H236" s="2">
        <v>0.0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3.5" customHeight="1">
      <c r="A237" s="1">
        <v>43009.791666666664</v>
      </c>
      <c r="B237" s="2">
        <v>3.0</v>
      </c>
      <c r="C237" s="2">
        <v>0.0</v>
      </c>
      <c r="D237" s="3" t="s">
        <v>342</v>
      </c>
      <c r="E237" s="2">
        <v>0.0</v>
      </c>
      <c r="F237" s="2" t="s">
        <v>137</v>
      </c>
      <c r="G237" s="2">
        <v>97.0</v>
      </c>
      <c r="H237" s="2">
        <v>0.0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3.5" customHeight="1">
      <c r="A238" s="1">
        <v>43009.833333333336</v>
      </c>
      <c r="B238" s="2" t="s">
        <v>343</v>
      </c>
      <c r="C238" s="2">
        <v>0.0</v>
      </c>
      <c r="D238" s="3" t="s">
        <v>344</v>
      </c>
      <c r="E238" s="2">
        <v>0.0</v>
      </c>
      <c r="F238" s="2" t="s">
        <v>332</v>
      </c>
      <c r="G238" s="2">
        <v>94.0</v>
      </c>
      <c r="H238" s="2">
        <v>0.0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3.5" customHeight="1">
      <c r="A239" s="1">
        <v>43009.875</v>
      </c>
      <c r="B239" s="2" t="s">
        <v>254</v>
      </c>
      <c r="C239" s="2">
        <v>0.0</v>
      </c>
      <c r="D239" s="3" t="s">
        <v>345</v>
      </c>
      <c r="E239" s="2">
        <v>0.0</v>
      </c>
      <c r="F239" s="2" t="s">
        <v>52</v>
      </c>
      <c r="G239" s="2">
        <v>94.0</v>
      </c>
      <c r="H239" s="2">
        <v>0.0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3.5" customHeight="1">
      <c r="A240" s="1">
        <v>43009.916666666664</v>
      </c>
      <c r="B240" s="2" t="s">
        <v>168</v>
      </c>
      <c r="C240" s="2">
        <v>0.0</v>
      </c>
      <c r="D240" s="3" t="s">
        <v>346</v>
      </c>
      <c r="E240" s="2">
        <v>0.0</v>
      </c>
      <c r="F240" s="2" t="s">
        <v>22</v>
      </c>
      <c r="G240" s="2">
        <v>94.0</v>
      </c>
      <c r="H240" s="2">
        <v>0.0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3.5" customHeight="1">
      <c r="A241" s="1">
        <v>43009.958333333336</v>
      </c>
      <c r="B241" s="2" t="s">
        <v>168</v>
      </c>
      <c r="C241" s="2">
        <v>0.0</v>
      </c>
      <c r="D241" s="3" t="s">
        <v>347</v>
      </c>
      <c r="E241" s="2">
        <v>0.0</v>
      </c>
      <c r="F241" s="2" t="s">
        <v>52</v>
      </c>
      <c r="G241" s="2">
        <v>96.0</v>
      </c>
      <c r="H241" s="2">
        <v>0.0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3.5" customHeight="1">
      <c r="A242" s="1">
        <v>43040.0</v>
      </c>
      <c r="B242" s="2" t="s">
        <v>78</v>
      </c>
      <c r="C242" s="2">
        <v>0.0</v>
      </c>
      <c r="D242" s="3" t="s">
        <v>348</v>
      </c>
      <c r="E242" s="2">
        <v>0.0</v>
      </c>
      <c r="F242" s="2" t="s">
        <v>55</v>
      </c>
      <c r="G242" s="2">
        <v>96.0</v>
      </c>
      <c r="H242" s="2">
        <v>0.0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3.5" customHeight="1">
      <c r="A243" s="1">
        <v>43040.041666666664</v>
      </c>
      <c r="B243" s="2" t="s">
        <v>349</v>
      </c>
      <c r="C243" s="2">
        <v>0.0</v>
      </c>
      <c r="D243" s="3" t="s">
        <v>350</v>
      </c>
      <c r="E243" s="2">
        <v>0.0</v>
      </c>
      <c r="F243" s="2" t="s">
        <v>254</v>
      </c>
      <c r="G243" s="2">
        <v>96.0</v>
      </c>
      <c r="H243" s="2">
        <v>0.0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3.5" customHeight="1">
      <c r="A244" s="1">
        <v>43040.083333333336</v>
      </c>
      <c r="B244" s="2" t="s">
        <v>349</v>
      </c>
      <c r="C244" s="2">
        <v>0.0</v>
      </c>
      <c r="D244" s="3" t="s">
        <v>351</v>
      </c>
      <c r="E244" s="2">
        <v>0.0</v>
      </c>
      <c r="F244" s="2" t="s">
        <v>173</v>
      </c>
      <c r="G244" s="2">
        <v>89.0</v>
      </c>
      <c r="H244" s="2">
        <v>0.0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3.5" customHeight="1">
      <c r="A245" s="1">
        <v>43040.125</v>
      </c>
      <c r="B245" s="2" t="s">
        <v>352</v>
      </c>
      <c r="C245" s="2">
        <v>0.0</v>
      </c>
      <c r="D245" s="3" t="s">
        <v>353</v>
      </c>
      <c r="E245" s="2">
        <v>0.0</v>
      </c>
      <c r="F245" s="2" t="s">
        <v>141</v>
      </c>
      <c r="G245" s="2">
        <v>88.0</v>
      </c>
      <c r="H245" s="2">
        <v>0.0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3.5" customHeight="1">
      <c r="A246" s="1">
        <v>43040.166666666664</v>
      </c>
      <c r="B246" s="2" t="s">
        <v>49</v>
      </c>
      <c r="C246" s="2">
        <v>0.0</v>
      </c>
      <c r="D246" s="3" t="s">
        <v>354</v>
      </c>
      <c r="E246" s="2">
        <v>0.0</v>
      </c>
      <c r="F246" s="2" t="s">
        <v>173</v>
      </c>
      <c r="G246" s="2">
        <v>91.0</v>
      </c>
      <c r="H246" s="2">
        <v>0.0</v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3.5" customHeight="1">
      <c r="A247" s="1">
        <v>43040.208333333336</v>
      </c>
      <c r="B247" s="2" t="s">
        <v>150</v>
      </c>
      <c r="C247" s="2">
        <v>0.0</v>
      </c>
      <c r="D247" s="3" t="s">
        <v>355</v>
      </c>
      <c r="E247" s="2">
        <v>0.0</v>
      </c>
      <c r="F247" s="2" t="s">
        <v>173</v>
      </c>
      <c r="G247" s="2">
        <v>89.0</v>
      </c>
      <c r="H247" s="2">
        <v>0.0</v>
      </c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3.5" customHeight="1">
      <c r="A248" s="1">
        <v>43040.25</v>
      </c>
      <c r="B248" s="2" t="s">
        <v>171</v>
      </c>
      <c r="C248" s="2">
        <v>0.0</v>
      </c>
      <c r="D248" s="3" t="s">
        <v>356</v>
      </c>
      <c r="E248" s="2">
        <v>0.0</v>
      </c>
      <c r="F248" s="2">
        <v>5.0</v>
      </c>
      <c r="G248" s="2">
        <v>89.0</v>
      </c>
      <c r="H248" s="2">
        <v>0.0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3.5" customHeight="1">
      <c r="A249" s="1">
        <v>43040.291666666664</v>
      </c>
      <c r="B249" s="2" t="s">
        <v>357</v>
      </c>
      <c r="C249" s="2">
        <v>0.0</v>
      </c>
      <c r="D249" s="3" t="s">
        <v>358</v>
      </c>
      <c r="E249" s="2">
        <v>0.0</v>
      </c>
      <c r="F249" s="2" t="s">
        <v>323</v>
      </c>
      <c r="G249" s="2">
        <v>92.0</v>
      </c>
      <c r="H249" s="2">
        <v>0.0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3.5" customHeight="1">
      <c r="A250" s="1">
        <v>43040.333333333336</v>
      </c>
      <c r="B250" s="2" t="s">
        <v>359</v>
      </c>
      <c r="C250" s="2">
        <v>0.0</v>
      </c>
      <c r="D250" s="3" t="s">
        <v>360</v>
      </c>
      <c r="E250" s="2">
        <v>0.0</v>
      </c>
      <c r="F250" s="2" t="s">
        <v>328</v>
      </c>
      <c r="G250" s="2">
        <v>92.0</v>
      </c>
      <c r="H250" s="2">
        <v>0.0</v>
      </c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3.5" customHeight="1">
      <c r="A251" s="1">
        <v>43040.375</v>
      </c>
      <c r="B251" s="2" t="s">
        <v>361</v>
      </c>
      <c r="C251" s="2">
        <v>0.0</v>
      </c>
      <c r="D251" s="3" t="s">
        <v>362</v>
      </c>
      <c r="E251" s="2">
        <v>0.0</v>
      </c>
      <c r="F251" s="2" t="s">
        <v>22</v>
      </c>
      <c r="G251" s="2">
        <v>91.0</v>
      </c>
      <c r="H251" s="2">
        <v>0.0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3.5" customHeight="1">
      <c r="A252" s="1">
        <v>43040.416666666664</v>
      </c>
      <c r="B252" s="2" t="s">
        <v>56</v>
      </c>
      <c r="C252" s="2">
        <v>0.0</v>
      </c>
      <c r="D252" s="3" t="s">
        <v>363</v>
      </c>
      <c r="E252" s="2">
        <v>0.0</v>
      </c>
      <c r="F252" s="2" t="s">
        <v>64</v>
      </c>
      <c r="G252" s="2">
        <v>93.0</v>
      </c>
      <c r="H252" s="2">
        <v>0.0</v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3.5" customHeight="1">
      <c r="A253" s="1">
        <v>43040.458333333336</v>
      </c>
      <c r="B253" s="2" t="s">
        <v>52</v>
      </c>
      <c r="C253" s="2">
        <v>0.0</v>
      </c>
      <c r="D253" s="3" t="s">
        <v>364</v>
      </c>
      <c r="E253" s="2" t="s">
        <v>22</v>
      </c>
      <c r="F253" s="2" t="s">
        <v>87</v>
      </c>
      <c r="G253" s="2">
        <v>93.0</v>
      </c>
      <c r="H253" s="2">
        <v>0.0</v>
      </c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3.5" customHeight="1">
      <c r="A254" s="1">
        <v>43040.5</v>
      </c>
      <c r="B254" s="2">
        <v>4.0</v>
      </c>
      <c r="C254" s="2">
        <v>0.0</v>
      </c>
      <c r="D254" s="3" t="s">
        <v>365</v>
      </c>
      <c r="E254" s="2" t="s">
        <v>366</v>
      </c>
      <c r="F254" s="2" t="s">
        <v>87</v>
      </c>
      <c r="G254" s="2">
        <v>92.0</v>
      </c>
      <c r="H254" s="2">
        <v>0.0</v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3.5" customHeight="1">
      <c r="A255" s="1">
        <v>43040.541666666664</v>
      </c>
      <c r="B255" s="2" t="s">
        <v>54</v>
      </c>
      <c r="C255" s="2">
        <v>0.0</v>
      </c>
      <c r="D255" s="3" t="s">
        <v>367</v>
      </c>
      <c r="E255" s="2" t="s">
        <v>368</v>
      </c>
      <c r="F255" s="2" t="s">
        <v>25</v>
      </c>
      <c r="G255" s="2">
        <v>93.0</v>
      </c>
      <c r="H255" s="2">
        <v>66.0</v>
      </c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3.5" customHeight="1">
      <c r="A256" s="1">
        <v>43040.583333333336</v>
      </c>
      <c r="B256" s="2" t="s">
        <v>22</v>
      </c>
      <c r="C256" s="2">
        <v>0.0</v>
      </c>
      <c r="D256" s="3" t="s">
        <v>369</v>
      </c>
      <c r="E256" s="2" t="s">
        <v>315</v>
      </c>
      <c r="F256" s="2" t="s">
        <v>50</v>
      </c>
      <c r="G256" s="2">
        <v>94.0</v>
      </c>
      <c r="H256" s="2">
        <v>1783334.0</v>
      </c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3.5" customHeight="1">
      <c r="A257" s="1">
        <v>43040.625</v>
      </c>
      <c r="B257" s="2" t="s">
        <v>343</v>
      </c>
      <c r="C257" s="2">
        <v>0.0</v>
      </c>
      <c r="D257" s="3" t="s">
        <v>370</v>
      </c>
      <c r="E257" s="2" t="s">
        <v>24</v>
      </c>
      <c r="F257" s="2" t="s">
        <v>50</v>
      </c>
      <c r="G257" s="2">
        <v>92.0</v>
      </c>
      <c r="H257" s="2">
        <v>0.0</v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3.5" customHeight="1">
      <c r="A258" s="1">
        <v>43040.666666666664</v>
      </c>
      <c r="B258" s="2" t="s">
        <v>332</v>
      </c>
      <c r="C258" s="2">
        <v>0.0</v>
      </c>
      <c r="D258" s="3" t="s">
        <v>371</v>
      </c>
      <c r="E258" s="2">
        <v>0.0</v>
      </c>
      <c r="F258" s="2" t="s">
        <v>43</v>
      </c>
      <c r="G258" s="2">
        <v>92.0</v>
      </c>
      <c r="H258" s="2">
        <v>0.0</v>
      </c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3.5" customHeight="1">
      <c r="A259" s="1">
        <v>43040.708333333336</v>
      </c>
      <c r="B259" s="2">
        <v>3.0</v>
      </c>
      <c r="C259" s="2">
        <v>0.0</v>
      </c>
      <c r="D259" s="3" t="s">
        <v>372</v>
      </c>
      <c r="E259" s="2">
        <v>0.0</v>
      </c>
      <c r="F259" s="2" t="s">
        <v>12</v>
      </c>
      <c r="G259" s="2">
        <v>94.0</v>
      </c>
      <c r="H259" s="2">
        <v>0.0</v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3.5" customHeight="1">
      <c r="A260" s="1">
        <v>43040.75</v>
      </c>
      <c r="B260" s="2" t="s">
        <v>50</v>
      </c>
      <c r="C260" s="2">
        <v>0.0</v>
      </c>
      <c r="D260" s="3" t="s">
        <v>373</v>
      </c>
      <c r="E260" s="2">
        <v>0.0</v>
      </c>
      <c r="F260" s="2" t="s">
        <v>138</v>
      </c>
      <c r="G260" s="2">
        <v>88.0</v>
      </c>
      <c r="H260" s="2">
        <v>0.0</v>
      </c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3.5" customHeight="1">
      <c r="A261" s="1">
        <v>43040.791666666664</v>
      </c>
      <c r="B261" s="2" t="s">
        <v>12</v>
      </c>
      <c r="C261" s="2">
        <v>0.0</v>
      </c>
      <c r="D261" s="3">
        <v>968.0</v>
      </c>
      <c r="E261" s="2">
        <v>0.0</v>
      </c>
      <c r="F261" s="2" t="s">
        <v>29</v>
      </c>
      <c r="G261" s="2">
        <v>94.0</v>
      </c>
      <c r="H261" s="2">
        <v>0.0</v>
      </c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3.5" customHeight="1">
      <c r="A262" s="1">
        <v>43040.833333333336</v>
      </c>
      <c r="B262" s="2" t="s">
        <v>43</v>
      </c>
      <c r="C262" s="2">
        <v>0.0</v>
      </c>
      <c r="D262" s="3">
        <v>969.0</v>
      </c>
      <c r="E262" s="2">
        <v>0.0</v>
      </c>
      <c r="F262" s="2" t="s">
        <v>138</v>
      </c>
      <c r="G262" s="2">
        <v>87.0</v>
      </c>
      <c r="H262" s="2">
        <v>0.0</v>
      </c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3.5" customHeight="1">
      <c r="A263" s="1">
        <v>43040.875</v>
      </c>
      <c r="B263" s="2" t="s">
        <v>106</v>
      </c>
      <c r="C263" s="2">
        <v>0.0</v>
      </c>
      <c r="D263" s="3" t="s">
        <v>374</v>
      </c>
      <c r="E263" s="2">
        <v>0.0</v>
      </c>
      <c r="F263" s="2" t="s">
        <v>264</v>
      </c>
      <c r="G263" s="2">
        <v>95.0</v>
      </c>
      <c r="H263" s="2">
        <v>0.0</v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3.5" customHeight="1">
      <c r="A264" s="1">
        <v>43040.916666666664</v>
      </c>
      <c r="B264" s="2" t="s">
        <v>24</v>
      </c>
      <c r="C264" s="2">
        <v>0.0</v>
      </c>
      <c r="D264" s="3" t="s">
        <v>375</v>
      </c>
      <c r="E264" s="2">
        <v>0.0</v>
      </c>
      <c r="F264" s="2" t="s">
        <v>264</v>
      </c>
      <c r="G264" s="2">
        <v>96.0</v>
      </c>
      <c r="H264" s="2">
        <v>0.0</v>
      </c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3.5" customHeight="1">
      <c r="A265" s="1">
        <v>43040.958333333336</v>
      </c>
      <c r="B265" s="2" t="s">
        <v>61</v>
      </c>
      <c r="C265" s="2">
        <v>0.0</v>
      </c>
      <c r="D265" s="3" t="s">
        <v>376</v>
      </c>
      <c r="E265" s="2">
        <v>0.0</v>
      </c>
      <c r="F265" s="2" t="s">
        <v>50</v>
      </c>
      <c r="G265" s="2">
        <v>74.0</v>
      </c>
      <c r="H265" s="2">
        <v>0.0</v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3.5" customHeight="1">
      <c r="A266" s="1">
        <v>43070.0</v>
      </c>
      <c r="B266" s="2" t="s">
        <v>89</v>
      </c>
      <c r="C266" s="2">
        <v>0.0</v>
      </c>
      <c r="D266" s="3" t="s">
        <v>377</v>
      </c>
      <c r="E266" s="2">
        <v>0.0</v>
      </c>
      <c r="F266" s="2">
        <v>2.0</v>
      </c>
      <c r="G266" s="2">
        <v>74.0</v>
      </c>
      <c r="H266" s="2">
        <v>0.0</v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3.5" customHeight="1">
      <c r="A267" s="1">
        <v>43070.041666666664</v>
      </c>
      <c r="B267" s="2" t="s">
        <v>183</v>
      </c>
      <c r="C267" s="2">
        <v>0.0</v>
      </c>
      <c r="D267" s="3" t="s">
        <v>364</v>
      </c>
      <c r="E267" s="2">
        <v>0.0</v>
      </c>
      <c r="F267" s="2" t="s">
        <v>138</v>
      </c>
      <c r="G267" s="2">
        <v>72.0</v>
      </c>
      <c r="H267" s="2">
        <v>0.0</v>
      </c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3.5" customHeight="1">
      <c r="A268" s="1">
        <v>43070.083333333336</v>
      </c>
      <c r="B268" s="2" t="s">
        <v>257</v>
      </c>
      <c r="C268" s="2">
        <v>0.0</v>
      </c>
      <c r="D268" s="3" t="s">
        <v>378</v>
      </c>
      <c r="E268" s="2">
        <v>0.0</v>
      </c>
      <c r="F268" s="2" t="s">
        <v>87</v>
      </c>
      <c r="G268" s="2">
        <v>71.0</v>
      </c>
      <c r="H268" s="2">
        <v>0.0</v>
      </c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3.5" customHeight="1">
      <c r="A269" s="1">
        <v>43070.125</v>
      </c>
      <c r="B269" s="2">
        <v>4.0</v>
      </c>
      <c r="C269" s="2">
        <v>0.0</v>
      </c>
      <c r="D269" s="3" t="s">
        <v>378</v>
      </c>
      <c r="E269" s="2">
        <v>0.0</v>
      </c>
      <c r="F269" s="2" t="s">
        <v>8</v>
      </c>
      <c r="G269" s="2">
        <v>77.0</v>
      </c>
      <c r="H269" s="2">
        <v>0.0</v>
      </c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3.5" customHeight="1">
      <c r="A270" s="1">
        <v>43070.166666666664</v>
      </c>
      <c r="B270" s="2" t="s">
        <v>257</v>
      </c>
      <c r="C270" s="2">
        <v>0.0</v>
      </c>
      <c r="D270" s="3" t="s">
        <v>379</v>
      </c>
      <c r="E270" s="2">
        <v>0.0</v>
      </c>
      <c r="F270" s="2" t="s">
        <v>66</v>
      </c>
      <c r="G270" s="2">
        <v>73.0</v>
      </c>
      <c r="H270" s="2">
        <v>0.0</v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3.5" customHeight="1">
      <c r="A271" s="1">
        <v>43070.208333333336</v>
      </c>
      <c r="B271" s="2" t="s">
        <v>138</v>
      </c>
      <c r="C271" s="2">
        <v>0.0</v>
      </c>
      <c r="D271" s="3">
        <v>975.0</v>
      </c>
      <c r="E271" s="2">
        <v>0.0</v>
      </c>
      <c r="F271" s="2" t="s">
        <v>28</v>
      </c>
      <c r="G271" s="2">
        <v>77.0</v>
      </c>
      <c r="H271" s="2">
        <v>0.0</v>
      </c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3.5" customHeight="1">
      <c r="A272" s="1">
        <v>43070.25</v>
      </c>
      <c r="B272" s="2" t="s">
        <v>37</v>
      </c>
      <c r="C272" s="2">
        <v>0.0</v>
      </c>
      <c r="D272" s="3" t="s">
        <v>380</v>
      </c>
      <c r="E272" s="2">
        <v>0.0</v>
      </c>
      <c r="F272" s="2" t="s">
        <v>86</v>
      </c>
      <c r="G272" s="2">
        <v>80.0</v>
      </c>
      <c r="H272" s="2">
        <v>0.0</v>
      </c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3.5" customHeight="1">
      <c r="A273" s="1">
        <v>43070.291666666664</v>
      </c>
      <c r="B273" s="2" t="s">
        <v>43</v>
      </c>
      <c r="C273" s="2">
        <v>0.0</v>
      </c>
      <c r="D273" s="3" t="s">
        <v>381</v>
      </c>
      <c r="E273" s="2">
        <v>0.0</v>
      </c>
      <c r="F273" s="2" t="s">
        <v>112</v>
      </c>
      <c r="G273" s="2">
        <v>82.0</v>
      </c>
      <c r="H273" s="2">
        <v>0.0</v>
      </c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3.5" customHeight="1">
      <c r="A274" s="1">
        <v>43070.333333333336</v>
      </c>
      <c r="B274" s="2" t="s">
        <v>29</v>
      </c>
      <c r="C274" s="2">
        <v>0.0</v>
      </c>
      <c r="D274" s="3" t="s">
        <v>382</v>
      </c>
      <c r="E274" s="2">
        <v>0.0</v>
      </c>
      <c r="F274" s="2" t="s">
        <v>86</v>
      </c>
      <c r="G274" s="2">
        <v>85.0</v>
      </c>
      <c r="H274" s="2">
        <v>0.0</v>
      </c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3.5" customHeight="1">
      <c r="A275" s="1">
        <v>43070.375</v>
      </c>
      <c r="B275" s="2" t="s">
        <v>89</v>
      </c>
      <c r="C275" s="2">
        <v>0.0</v>
      </c>
      <c r="D275" s="3" t="s">
        <v>383</v>
      </c>
      <c r="E275" s="2">
        <v>0.0</v>
      </c>
      <c r="F275" s="2" t="s">
        <v>112</v>
      </c>
      <c r="G275" s="2">
        <v>84.0</v>
      </c>
      <c r="H275" s="2">
        <v>0.0</v>
      </c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3.5" customHeight="1">
      <c r="A276" s="1">
        <v>43070.416666666664</v>
      </c>
      <c r="B276" s="2" t="s">
        <v>106</v>
      </c>
      <c r="C276" s="2">
        <v>0.0</v>
      </c>
      <c r="D276" s="3" t="s">
        <v>384</v>
      </c>
      <c r="E276" s="2" t="s">
        <v>248</v>
      </c>
      <c r="F276" s="2" t="s">
        <v>14</v>
      </c>
      <c r="G276" s="2">
        <v>89.0</v>
      </c>
      <c r="H276" s="2">
        <v>0.0</v>
      </c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3.5" customHeight="1">
      <c r="A277" s="1">
        <v>43070.458333333336</v>
      </c>
      <c r="B277" s="2" t="s">
        <v>40</v>
      </c>
      <c r="C277" s="2">
        <v>0.0</v>
      </c>
      <c r="D277" s="3">
        <v>976.0</v>
      </c>
      <c r="E277" s="2" t="s">
        <v>385</v>
      </c>
      <c r="F277" s="2" t="s">
        <v>66</v>
      </c>
      <c r="G277" s="2">
        <v>82.0</v>
      </c>
      <c r="H277" s="2">
        <v>113.0</v>
      </c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3.5" customHeight="1">
      <c r="A278" s="1">
        <v>43070.5</v>
      </c>
      <c r="B278" s="2" t="s">
        <v>87</v>
      </c>
      <c r="C278" s="2">
        <v>0.0</v>
      </c>
      <c r="D278" s="3" t="s">
        <v>386</v>
      </c>
      <c r="E278" s="2" t="s">
        <v>387</v>
      </c>
      <c r="F278" s="2" t="s">
        <v>264</v>
      </c>
      <c r="G278" s="2">
        <v>80.0</v>
      </c>
      <c r="H278" s="2">
        <v>368.0</v>
      </c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3.5" customHeight="1">
      <c r="A279" s="1">
        <v>43070.541666666664</v>
      </c>
      <c r="B279" s="2" t="s">
        <v>43</v>
      </c>
      <c r="C279" s="2">
        <v>0.0</v>
      </c>
      <c r="D279" s="3" t="s">
        <v>388</v>
      </c>
      <c r="E279" s="2">
        <v>58.0</v>
      </c>
      <c r="F279" s="2" t="s">
        <v>29</v>
      </c>
      <c r="G279" s="2">
        <v>79.0</v>
      </c>
      <c r="H279" s="2">
        <v>429.0</v>
      </c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3.5" customHeight="1">
      <c r="A280" s="1">
        <v>43070.583333333336</v>
      </c>
      <c r="B280" s="2" t="s">
        <v>43</v>
      </c>
      <c r="C280" s="2">
        <v>25.0</v>
      </c>
      <c r="D280" s="3" t="s">
        <v>386</v>
      </c>
      <c r="E280" s="2" t="s">
        <v>389</v>
      </c>
      <c r="F280" s="2" t="s">
        <v>89</v>
      </c>
      <c r="G280" s="2">
        <v>76.0</v>
      </c>
      <c r="H280" s="2">
        <v>4143333.0</v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3.5" customHeight="1">
      <c r="A281" s="1">
        <v>43070.625</v>
      </c>
      <c r="B281" s="2" t="s">
        <v>61</v>
      </c>
      <c r="C281" s="2">
        <v>0.0</v>
      </c>
      <c r="D281" s="3" t="s">
        <v>390</v>
      </c>
      <c r="E281" s="2">
        <v>13.0</v>
      </c>
      <c r="F281" s="2" t="s">
        <v>101</v>
      </c>
      <c r="G281" s="2">
        <v>78.0</v>
      </c>
      <c r="H281" s="2">
        <v>388333.0</v>
      </c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3.5" customHeight="1">
      <c r="A282" s="1">
        <v>43070.666666666664</v>
      </c>
      <c r="B282" s="2" t="s">
        <v>43</v>
      </c>
      <c r="C282" s="2">
        <v>22.0</v>
      </c>
      <c r="D282" s="3" t="s">
        <v>363</v>
      </c>
      <c r="E282" s="2" t="s">
        <v>12</v>
      </c>
      <c r="F282" s="2" t="s">
        <v>138</v>
      </c>
      <c r="G282" s="2">
        <v>75.0</v>
      </c>
      <c r="H282" s="2">
        <v>0.0</v>
      </c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3.5" customHeight="1">
      <c r="A283" s="1">
        <v>43070.708333333336</v>
      </c>
      <c r="B283" s="2" t="s">
        <v>87</v>
      </c>
      <c r="C283" s="2">
        <v>0.0</v>
      </c>
      <c r="D283" s="3" t="s">
        <v>391</v>
      </c>
      <c r="E283" s="2">
        <v>0.0</v>
      </c>
      <c r="F283" s="2" t="s">
        <v>264</v>
      </c>
      <c r="G283" s="2">
        <v>78.0</v>
      </c>
      <c r="H283" s="2">
        <v>0.0</v>
      </c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3.5" customHeight="1">
      <c r="A284" s="1">
        <v>43070.75</v>
      </c>
      <c r="B284" s="2">
        <v>1.0</v>
      </c>
      <c r="C284" s="2">
        <v>0.0</v>
      </c>
      <c r="D284" s="3" t="s">
        <v>392</v>
      </c>
      <c r="E284" s="2">
        <v>0.0</v>
      </c>
      <c r="F284" s="2">
        <v>1.0</v>
      </c>
      <c r="G284" s="2">
        <v>78.0</v>
      </c>
      <c r="H284" s="2">
        <v>0.0</v>
      </c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3.5" customHeight="1">
      <c r="A285" s="1">
        <v>43070.791666666664</v>
      </c>
      <c r="B285" s="2" t="s">
        <v>87</v>
      </c>
      <c r="C285" s="2">
        <v>0.0</v>
      </c>
      <c r="D285" s="3" t="s">
        <v>393</v>
      </c>
      <c r="E285" s="2">
        <v>0.0</v>
      </c>
      <c r="F285" s="2" t="s">
        <v>106</v>
      </c>
      <c r="G285" s="2">
        <v>77.0</v>
      </c>
      <c r="H285" s="2">
        <v>0.0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3.5" customHeight="1">
      <c r="A286" s="1">
        <v>43070.833333333336</v>
      </c>
      <c r="B286" s="2" t="s">
        <v>45</v>
      </c>
      <c r="C286" s="2">
        <v>0.0</v>
      </c>
      <c r="D286" s="3" t="s">
        <v>394</v>
      </c>
      <c r="E286" s="2">
        <v>0.0</v>
      </c>
      <c r="F286" s="2" t="s">
        <v>264</v>
      </c>
      <c r="G286" s="2">
        <v>76.0</v>
      </c>
      <c r="H286" s="2">
        <v>0.0</v>
      </c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3.5" customHeight="1">
      <c r="A287" s="1">
        <v>43070.875</v>
      </c>
      <c r="B287" s="2" t="s">
        <v>24</v>
      </c>
      <c r="C287" s="2">
        <v>0.0</v>
      </c>
      <c r="D287" s="3" t="s">
        <v>395</v>
      </c>
      <c r="E287" s="2">
        <v>0.0</v>
      </c>
      <c r="F287" s="2" t="s">
        <v>264</v>
      </c>
      <c r="G287" s="2">
        <v>75.0</v>
      </c>
      <c r="H287" s="2">
        <v>0.0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3.5" customHeight="1">
      <c r="A288" s="1">
        <v>43070.916666666664</v>
      </c>
      <c r="B288" s="2" t="s">
        <v>52</v>
      </c>
      <c r="C288" s="2">
        <v>0.0</v>
      </c>
      <c r="D288" s="3" t="s">
        <v>396</v>
      </c>
      <c r="E288" s="2">
        <v>0.0</v>
      </c>
      <c r="F288" s="2" t="s">
        <v>29</v>
      </c>
      <c r="G288" s="2">
        <v>72.0</v>
      </c>
      <c r="H288" s="2">
        <v>0.0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3.5" customHeight="1">
      <c r="A289" s="1">
        <v>43070.958333333336</v>
      </c>
      <c r="B289" s="2" t="s">
        <v>54</v>
      </c>
      <c r="C289" s="2">
        <v>0.0</v>
      </c>
      <c r="D289" s="3" t="s">
        <v>397</v>
      </c>
      <c r="E289" s="2">
        <v>0.0</v>
      </c>
      <c r="F289" s="2" t="s">
        <v>87</v>
      </c>
      <c r="G289" s="2">
        <v>68.0</v>
      </c>
      <c r="H289" s="2">
        <v>0.0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3.5" customHeight="1">
      <c r="A290" s="17">
        <v>42748.0</v>
      </c>
      <c r="B290" s="2" t="s">
        <v>89</v>
      </c>
      <c r="C290" s="2">
        <v>0.0</v>
      </c>
      <c r="D290" s="3" t="s">
        <v>398</v>
      </c>
      <c r="E290" s="2">
        <v>0.0</v>
      </c>
      <c r="F290" s="2" t="s">
        <v>24</v>
      </c>
      <c r="G290" s="2">
        <v>69.0</v>
      </c>
      <c r="H290" s="2">
        <v>0.0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3.5" customHeight="1">
      <c r="A291" s="17">
        <v>42748.041666666664</v>
      </c>
      <c r="B291" s="2" t="s">
        <v>66</v>
      </c>
      <c r="C291" s="2">
        <v>0.0</v>
      </c>
      <c r="D291" s="3" t="s">
        <v>399</v>
      </c>
      <c r="E291" s="2">
        <v>0.0</v>
      </c>
      <c r="F291" s="2" t="s">
        <v>86</v>
      </c>
      <c r="G291" s="2">
        <v>75.0</v>
      </c>
      <c r="H291" s="2">
        <v>0.0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3.5" customHeight="1">
      <c r="A292" s="17">
        <v>42748.083333333336</v>
      </c>
      <c r="B292" s="2" t="s">
        <v>106</v>
      </c>
      <c r="C292" s="2">
        <v>0.0</v>
      </c>
      <c r="D292" s="3" t="s">
        <v>400</v>
      </c>
      <c r="E292" s="2">
        <v>0.0</v>
      </c>
      <c r="F292" s="2" t="s">
        <v>16</v>
      </c>
      <c r="G292" s="2">
        <v>81.0</v>
      </c>
      <c r="H292" s="2">
        <v>0.0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3.5" customHeight="1">
      <c r="A293" s="17">
        <v>42749.083333333336</v>
      </c>
      <c r="B293" s="2" t="s">
        <v>89</v>
      </c>
      <c r="C293" s="2">
        <v>0.0</v>
      </c>
      <c r="D293" s="3" t="s">
        <v>401</v>
      </c>
      <c r="E293" s="2">
        <v>0.0</v>
      </c>
      <c r="F293" s="2" t="s">
        <v>16</v>
      </c>
      <c r="G293" s="2">
        <v>80.0</v>
      </c>
      <c r="H293" s="2">
        <v>0.0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3.5" customHeight="1">
      <c r="A294" s="17">
        <v>42750.083333333336</v>
      </c>
      <c r="B294" s="2" t="s">
        <v>86</v>
      </c>
      <c r="C294" s="2">
        <v>0.0</v>
      </c>
      <c r="D294" s="3" t="s">
        <v>402</v>
      </c>
      <c r="E294" s="2">
        <v>0.0</v>
      </c>
      <c r="F294" s="2" t="s">
        <v>139</v>
      </c>
      <c r="G294" s="2">
        <v>79.0</v>
      </c>
      <c r="H294" s="2">
        <v>0.0</v>
      </c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3.5" customHeight="1">
      <c r="A295" s="17">
        <v>42751.083333333336</v>
      </c>
      <c r="B295" s="2">
        <v>1.0</v>
      </c>
      <c r="C295" s="2">
        <v>0.0</v>
      </c>
      <c r="D295" s="3" t="s">
        <v>403</v>
      </c>
      <c r="E295" s="2">
        <v>0.0</v>
      </c>
      <c r="F295" s="2" t="s">
        <v>277</v>
      </c>
      <c r="G295" s="2">
        <v>86.0</v>
      </c>
      <c r="H295" s="2">
        <v>0.0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3.5" customHeight="1">
      <c r="A296" s="17">
        <v>42752.083333333336</v>
      </c>
      <c r="B296" s="2" t="s">
        <v>101</v>
      </c>
      <c r="C296" s="2">
        <v>0.0</v>
      </c>
      <c r="D296" s="3" t="s">
        <v>404</v>
      </c>
      <c r="E296" s="2">
        <v>0.0</v>
      </c>
      <c r="F296" s="2" t="s">
        <v>70</v>
      </c>
      <c r="G296" s="2">
        <v>87.0</v>
      </c>
      <c r="H296" s="2">
        <v>0.0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3.5" customHeight="1">
      <c r="A297" s="17">
        <v>42753.083333333336</v>
      </c>
      <c r="B297" s="2" t="s">
        <v>43</v>
      </c>
      <c r="C297" s="2">
        <v>0.0</v>
      </c>
      <c r="D297" s="3" t="s">
        <v>405</v>
      </c>
      <c r="E297" s="2">
        <v>0.0</v>
      </c>
      <c r="F297" s="2" t="s">
        <v>104</v>
      </c>
      <c r="G297" s="2">
        <v>89.0</v>
      </c>
      <c r="H297" s="2">
        <v>0.0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3.5" customHeight="1">
      <c r="A298" s="17">
        <v>42754.083333333336</v>
      </c>
      <c r="B298" s="2" t="s">
        <v>106</v>
      </c>
      <c r="C298" s="2">
        <v>0.0</v>
      </c>
      <c r="D298" s="3" t="s">
        <v>406</v>
      </c>
      <c r="E298" s="2">
        <v>0.0</v>
      </c>
      <c r="F298" s="2" t="s">
        <v>100</v>
      </c>
      <c r="G298" s="2">
        <v>89.0</v>
      </c>
      <c r="H298" s="2">
        <v>0.0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3.5" customHeight="1">
      <c r="A299" s="17">
        <v>42755.083333333336</v>
      </c>
      <c r="B299" s="2" t="s">
        <v>40</v>
      </c>
      <c r="C299" s="2">
        <v>0.0</v>
      </c>
      <c r="D299" s="3" t="s">
        <v>407</v>
      </c>
      <c r="E299" s="2">
        <v>0.0</v>
      </c>
      <c r="F299" s="2" t="s">
        <v>110</v>
      </c>
      <c r="G299" s="2">
        <v>90.0</v>
      </c>
      <c r="H299" s="2">
        <v>0.0</v>
      </c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3.5" customHeight="1">
      <c r="A300" s="17">
        <v>42756.083333333336</v>
      </c>
      <c r="B300" s="2" t="s">
        <v>25</v>
      </c>
      <c r="C300" s="2">
        <v>31.0</v>
      </c>
      <c r="D300" s="3" t="s">
        <v>133</v>
      </c>
      <c r="E300" s="2" t="s">
        <v>408</v>
      </c>
      <c r="F300" s="2" t="s">
        <v>285</v>
      </c>
      <c r="G300" s="2">
        <v>89.0</v>
      </c>
      <c r="H300" s="2">
        <v>0.0</v>
      </c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3.5" customHeight="1">
      <c r="A301" s="17">
        <v>42757.083333333336</v>
      </c>
      <c r="B301" s="2" t="s">
        <v>17</v>
      </c>
      <c r="C301" s="2">
        <v>60.0</v>
      </c>
      <c r="D301" s="3">
        <v>987.0</v>
      </c>
      <c r="E301" s="2" t="s">
        <v>409</v>
      </c>
      <c r="F301" s="2" t="s">
        <v>119</v>
      </c>
      <c r="G301" s="2">
        <v>83.0</v>
      </c>
      <c r="H301" s="2">
        <v>1945001.0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3.5" customHeight="1">
      <c r="A302" s="17">
        <v>42758.083333333336</v>
      </c>
      <c r="B302" s="2" t="s">
        <v>29</v>
      </c>
      <c r="C302" s="2">
        <v>60.0</v>
      </c>
      <c r="D302" s="3" t="s">
        <v>410</v>
      </c>
      <c r="E302" s="2" t="s">
        <v>411</v>
      </c>
      <c r="F302" s="2">
        <v>-1.0</v>
      </c>
      <c r="G302" s="2">
        <v>78.0</v>
      </c>
      <c r="H302" s="2">
        <v>1.3426666E7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3.5" customHeight="1">
      <c r="A303" s="17">
        <v>42759.083333333336</v>
      </c>
      <c r="B303" s="2" t="s">
        <v>25</v>
      </c>
      <c r="C303" s="2">
        <v>60.0</v>
      </c>
      <c r="D303" s="3" t="s">
        <v>412</v>
      </c>
      <c r="E303" s="2">
        <v>124.0</v>
      </c>
      <c r="F303" s="2" t="s">
        <v>143</v>
      </c>
      <c r="G303" s="2">
        <v>79.0</v>
      </c>
      <c r="H303" s="2">
        <v>1.0441666E7</v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3.5" customHeight="1">
      <c r="A304" s="17">
        <v>42760.083333333336</v>
      </c>
      <c r="B304" s="2" t="s">
        <v>86</v>
      </c>
      <c r="C304" s="2">
        <v>60.0</v>
      </c>
      <c r="D304" s="3">
        <v>988.0</v>
      </c>
      <c r="E304" s="2" t="s">
        <v>413</v>
      </c>
      <c r="F304" s="2">
        <v>-1.0</v>
      </c>
      <c r="G304" s="2">
        <v>76.0</v>
      </c>
      <c r="H304" s="2">
        <v>1923333.0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3.5" customHeight="1">
      <c r="A305" s="17">
        <v>42761.083333333336</v>
      </c>
      <c r="B305" s="2" t="s">
        <v>29</v>
      </c>
      <c r="C305" s="2">
        <v>60.0</v>
      </c>
      <c r="D305" s="3" t="s">
        <v>414</v>
      </c>
      <c r="E305" s="2" t="s">
        <v>415</v>
      </c>
      <c r="F305" s="2" t="s">
        <v>145</v>
      </c>
      <c r="G305" s="2">
        <v>78.0</v>
      </c>
      <c r="H305" s="2">
        <v>1109999.0</v>
      </c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3.5" customHeight="1">
      <c r="A306" s="17">
        <v>42762.083333333336</v>
      </c>
      <c r="B306" s="2" t="s">
        <v>8</v>
      </c>
      <c r="C306" s="2">
        <v>33.0</v>
      </c>
      <c r="D306" s="3" t="s">
        <v>416</v>
      </c>
      <c r="E306" s="2" t="s">
        <v>417</v>
      </c>
      <c r="F306" s="2" t="s">
        <v>162</v>
      </c>
      <c r="G306" s="2">
        <v>85.0</v>
      </c>
      <c r="H306" s="2">
        <v>0.0</v>
      </c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3.5" customHeight="1">
      <c r="A307" s="17">
        <v>42763.083333333336</v>
      </c>
      <c r="B307" s="2" t="s">
        <v>29</v>
      </c>
      <c r="C307" s="2">
        <v>0.0</v>
      </c>
      <c r="D307" s="3" t="s">
        <v>125</v>
      </c>
      <c r="E307" s="2">
        <v>0.0</v>
      </c>
      <c r="F307" s="2" t="s">
        <v>76</v>
      </c>
      <c r="G307" s="2">
        <v>87.0</v>
      </c>
      <c r="H307" s="2">
        <v>0.0</v>
      </c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3.5" customHeight="1">
      <c r="A308" s="17">
        <v>42764.083333333336</v>
      </c>
      <c r="B308" s="2" t="s">
        <v>24</v>
      </c>
      <c r="C308" s="2">
        <v>0.0</v>
      </c>
      <c r="D308" s="3" t="s">
        <v>418</v>
      </c>
      <c r="E308" s="2">
        <v>0.0</v>
      </c>
      <c r="F308" s="2" t="s">
        <v>102</v>
      </c>
      <c r="G308" s="2">
        <v>88.0</v>
      </c>
      <c r="H308" s="2">
        <v>0.0</v>
      </c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3.5" customHeight="1">
      <c r="A309" s="17">
        <v>42765.083333333336</v>
      </c>
      <c r="B309" s="2" t="s">
        <v>183</v>
      </c>
      <c r="C309" s="2">
        <v>0.0</v>
      </c>
      <c r="D309" s="3" t="s">
        <v>419</v>
      </c>
      <c r="E309" s="2">
        <v>0.0</v>
      </c>
      <c r="F309" s="2" t="s">
        <v>100</v>
      </c>
      <c r="G309" s="2">
        <v>87.0</v>
      </c>
      <c r="H309" s="2">
        <v>0.0</v>
      </c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3.5" customHeight="1">
      <c r="A310" s="17">
        <v>42766.083333333336</v>
      </c>
      <c r="B310" s="2" t="s">
        <v>138</v>
      </c>
      <c r="C310" s="2">
        <v>0.0</v>
      </c>
      <c r="D310" s="3" t="s">
        <v>420</v>
      </c>
      <c r="E310" s="2">
        <v>0.0</v>
      </c>
      <c r="F310" s="2" t="s">
        <v>93</v>
      </c>
      <c r="G310" s="2">
        <v>86.0</v>
      </c>
      <c r="H310" s="2">
        <v>0.0</v>
      </c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3.5" customHeight="1">
      <c r="A311" s="17">
        <v>42767.083333333336</v>
      </c>
      <c r="B311" s="2" t="s">
        <v>8</v>
      </c>
      <c r="C311" s="2">
        <v>0.0</v>
      </c>
      <c r="D311" s="3" t="s">
        <v>140</v>
      </c>
      <c r="E311" s="2">
        <v>0.0</v>
      </c>
      <c r="F311" s="2" t="s">
        <v>96</v>
      </c>
      <c r="G311" s="2">
        <v>89.0</v>
      </c>
      <c r="H311" s="2">
        <v>0.0</v>
      </c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3.5" customHeight="1">
      <c r="A312" s="17">
        <v>42768.083333333336</v>
      </c>
      <c r="B312" s="2" t="s">
        <v>112</v>
      </c>
      <c r="C312" s="2">
        <v>0.0</v>
      </c>
      <c r="D312" s="3" t="s">
        <v>421</v>
      </c>
      <c r="E312" s="2">
        <v>0.0</v>
      </c>
      <c r="F312" s="2" t="s">
        <v>422</v>
      </c>
      <c r="G312" s="2">
        <v>89.0</v>
      </c>
      <c r="H312" s="2">
        <v>0.0</v>
      </c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3.5" customHeight="1">
      <c r="A313" s="17">
        <v>42769.083333333336</v>
      </c>
      <c r="B313" s="2" t="s">
        <v>10</v>
      </c>
      <c r="C313" s="2">
        <v>0.0</v>
      </c>
      <c r="D313" s="3" t="s">
        <v>423</v>
      </c>
      <c r="E313" s="2">
        <v>0.0</v>
      </c>
      <c r="F313" s="2" t="s">
        <v>96</v>
      </c>
      <c r="G313" s="2">
        <v>92.0</v>
      </c>
      <c r="H313" s="2">
        <v>0.0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3.5" customHeight="1">
      <c r="A314" s="17">
        <v>42770.083333333336</v>
      </c>
      <c r="B314" s="2" t="s">
        <v>66</v>
      </c>
      <c r="C314" s="2">
        <v>0.0</v>
      </c>
      <c r="D314" s="3" t="s">
        <v>424</v>
      </c>
      <c r="E314" s="2">
        <v>0.0</v>
      </c>
      <c r="F314" s="2" t="s">
        <v>425</v>
      </c>
      <c r="G314" s="2">
        <v>91.0</v>
      </c>
      <c r="H314" s="2">
        <v>0.0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3.5" customHeight="1">
      <c r="A315" s="17">
        <v>42771.083333333336</v>
      </c>
      <c r="B315" s="2" t="s">
        <v>264</v>
      </c>
      <c r="C315" s="2">
        <v>0.0</v>
      </c>
      <c r="D315" s="3" t="s">
        <v>426</v>
      </c>
      <c r="E315" s="2">
        <v>0.0</v>
      </c>
      <c r="F315" s="2" t="s">
        <v>178</v>
      </c>
      <c r="G315" s="2">
        <v>91.0</v>
      </c>
      <c r="H315" s="2">
        <v>0.0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3.5" customHeight="1">
      <c r="A316" s="17">
        <v>42772.083333333336</v>
      </c>
      <c r="B316" s="2" t="s">
        <v>24</v>
      </c>
      <c r="C316" s="2">
        <v>0.0</v>
      </c>
      <c r="D316" s="3" t="s">
        <v>427</v>
      </c>
      <c r="E316" s="2">
        <v>0.0</v>
      </c>
      <c r="F316" s="2" t="s">
        <v>180</v>
      </c>
      <c r="G316" s="2">
        <v>93.0</v>
      </c>
      <c r="H316" s="2">
        <v>0.0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3.5" customHeight="1">
      <c r="A317" s="17">
        <v>42773.083333333336</v>
      </c>
      <c r="B317" s="2">
        <v>1.0</v>
      </c>
      <c r="C317" s="2">
        <v>0.0</v>
      </c>
      <c r="D317" s="3" t="s">
        <v>142</v>
      </c>
      <c r="E317" s="2">
        <v>0.0</v>
      </c>
      <c r="F317" s="2" t="s">
        <v>180</v>
      </c>
      <c r="G317" s="2">
        <v>91.0</v>
      </c>
      <c r="H317" s="2">
        <v>0.0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3.5" customHeight="1">
      <c r="A318" s="17">
        <v>42774.083333333336</v>
      </c>
      <c r="B318" s="2" t="s">
        <v>86</v>
      </c>
      <c r="C318" s="2">
        <v>0.0</v>
      </c>
      <c r="D318" s="3" t="s">
        <v>428</v>
      </c>
      <c r="E318" s="2">
        <v>0.0</v>
      </c>
      <c r="F318" s="2" t="s">
        <v>429</v>
      </c>
      <c r="G318" s="2">
        <v>93.0</v>
      </c>
      <c r="H318" s="2">
        <v>0.0</v>
      </c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3.5" customHeight="1">
      <c r="A319" s="17">
        <v>42775.083333333336</v>
      </c>
      <c r="B319" s="2" t="s">
        <v>112</v>
      </c>
      <c r="C319" s="2">
        <v>0.0</v>
      </c>
      <c r="D319" s="3" t="s">
        <v>430</v>
      </c>
      <c r="E319" s="2">
        <v>0.0</v>
      </c>
      <c r="F319" s="2" t="s">
        <v>425</v>
      </c>
      <c r="G319" s="2">
        <v>91.0</v>
      </c>
      <c r="H319" s="2">
        <v>0.0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3.5" customHeight="1">
      <c r="A320" s="17">
        <v>42776.083333333336</v>
      </c>
      <c r="B320" s="2" t="s">
        <v>28</v>
      </c>
      <c r="C320" s="2">
        <v>0.0</v>
      </c>
      <c r="D320" s="3" t="s">
        <v>431</v>
      </c>
      <c r="E320" s="2">
        <v>0.0</v>
      </c>
      <c r="F320" s="2" t="s">
        <v>425</v>
      </c>
      <c r="G320" s="2">
        <v>92.0</v>
      </c>
      <c r="H320" s="2">
        <v>0.0</v>
      </c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3.5" customHeight="1">
      <c r="A321" s="17">
        <v>42777.083333333336</v>
      </c>
      <c r="B321" s="2" t="s">
        <v>86</v>
      </c>
      <c r="C321" s="2">
        <v>0.0</v>
      </c>
      <c r="D321" s="3" t="s">
        <v>432</v>
      </c>
      <c r="E321" s="2">
        <v>0.0</v>
      </c>
      <c r="F321" s="2" t="s">
        <v>93</v>
      </c>
      <c r="G321" s="2">
        <v>90.0</v>
      </c>
      <c r="H321" s="2">
        <v>0.0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3.5" customHeight="1">
      <c r="A322" s="17">
        <v>42778.083333333336</v>
      </c>
      <c r="B322" s="2" t="s">
        <v>106</v>
      </c>
      <c r="C322" s="2">
        <v>0.0</v>
      </c>
      <c r="D322" s="3" t="s">
        <v>433</v>
      </c>
      <c r="E322" s="2">
        <v>0.0</v>
      </c>
      <c r="F322" s="2" t="s">
        <v>72</v>
      </c>
      <c r="G322" s="2">
        <v>88.0</v>
      </c>
      <c r="H322" s="2">
        <v>0.0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3.5" customHeight="1">
      <c r="A323" s="17">
        <v>42779.083333333336</v>
      </c>
      <c r="B323" s="2" t="s">
        <v>40</v>
      </c>
      <c r="C323" s="2">
        <v>0.0</v>
      </c>
      <c r="D323" s="3" t="s">
        <v>434</v>
      </c>
      <c r="E323" s="2">
        <v>0.0</v>
      </c>
      <c r="F323" s="2">
        <v>-3.0</v>
      </c>
      <c r="G323" s="2">
        <v>88.0</v>
      </c>
      <c r="H323" s="2">
        <v>0.0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3.5" customHeight="1">
      <c r="A324" s="17">
        <v>42780.083333333336</v>
      </c>
      <c r="B324" s="2" t="s">
        <v>37</v>
      </c>
      <c r="C324" s="2">
        <v>0.0</v>
      </c>
      <c r="D324" s="3" t="s">
        <v>435</v>
      </c>
      <c r="E324" s="2" t="s">
        <v>436</v>
      </c>
      <c r="F324" s="2" t="s">
        <v>68</v>
      </c>
      <c r="G324" s="2">
        <v>85.0</v>
      </c>
      <c r="H324" s="2">
        <v>128.0</v>
      </c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3.5" customHeight="1">
      <c r="A325" s="17">
        <v>42781.083333333336</v>
      </c>
      <c r="B325" s="2" t="s">
        <v>71</v>
      </c>
      <c r="C325" s="2">
        <v>0.0</v>
      </c>
      <c r="D325" s="3" t="s">
        <v>148</v>
      </c>
      <c r="E325" s="2" t="s">
        <v>437</v>
      </c>
      <c r="F325" s="2" t="s">
        <v>31</v>
      </c>
      <c r="G325" s="2">
        <v>80.0</v>
      </c>
      <c r="H325" s="2">
        <v>5378333.0</v>
      </c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3.5" customHeight="1">
      <c r="A326" s="17">
        <v>42782.083333333336</v>
      </c>
      <c r="B326" s="2" t="s">
        <v>326</v>
      </c>
      <c r="C326" s="2">
        <v>0.0</v>
      </c>
      <c r="D326" s="3" t="s">
        <v>438</v>
      </c>
      <c r="E326" s="2">
        <v>60.0</v>
      </c>
      <c r="F326" s="2" t="s">
        <v>112</v>
      </c>
      <c r="G326" s="2">
        <v>66.0</v>
      </c>
      <c r="H326" s="2">
        <v>9176666.0</v>
      </c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3.5" customHeight="1">
      <c r="A327" s="17">
        <v>42783.083333333336</v>
      </c>
      <c r="B327" s="2" t="s">
        <v>324</v>
      </c>
      <c r="C327" s="2">
        <v>0.0</v>
      </c>
      <c r="D327" s="3" t="s">
        <v>439</v>
      </c>
      <c r="E327" s="2" t="s">
        <v>440</v>
      </c>
      <c r="F327" s="2" t="s">
        <v>86</v>
      </c>
      <c r="G327" s="2">
        <v>64.0</v>
      </c>
      <c r="H327" s="2">
        <v>5114999.0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3.5" customHeight="1">
      <c r="A328" s="17">
        <v>42784.083333333336</v>
      </c>
      <c r="B328" s="2" t="s">
        <v>141</v>
      </c>
      <c r="C328" s="2">
        <v>0.0</v>
      </c>
      <c r="D328" s="3" t="s">
        <v>340</v>
      </c>
      <c r="E328" s="2" t="s">
        <v>441</v>
      </c>
      <c r="F328" s="2" t="s">
        <v>316</v>
      </c>
      <c r="G328" s="2">
        <v>66.0</v>
      </c>
      <c r="H328" s="2">
        <v>2588333.0</v>
      </c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3.5" customHeight="1">
      <c r="A329" s="17">
        <v>42785.083333333336</v>
      </c>
      <c r="B329" s="2" t="s">
        <v>442</v>
      </c>
      <c r="C329" s="2">
        <v>0.0</v>
      </c>
      <c r="D329" s="3" t="s">
        <v>443</v>
      </c>
      <c r="E329" s="2" t="s">
        <v>444</v>
      </c>
      <c r="F329" s="2" t="s">
        <v>152</v>
      </c>
      <c r="G329" s="2">
        <v>68.0</v>
      </c>
      <c r="H329" s="2">
        <v>796667.0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3.5" customHeight="1">
      <c r="A330" s="17">
        <v>42786.083333333336</v>
      </c>
      <c r="B330" s="2">
        <v>5.0</v>
      </c>
      <c r="C330" s="2">
        <v>0.0</v>
      </c>
      <c r="D330" s="3" t="s">
        <v>445</v>
      </c>
      <c r="E330" s="2" t="s">
        <v>446</v>
      </c>
      <c r="F330" s="2" t="s">
        <v>143</v>
      </c>
      <c r="G330" s="2">
        <v>66.0</v>
      </c>
      <c r="H330" s="2">
        <v>103333.0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3.5" customHeight="1">
      <c r="A331" s="17">
        <v>42787.083333333336</v>
      </c>
      <c r="B331" s="2" t="s">
        <v>78</v>
      </c>
      <c r="C331" s="2">
        <v>0.0</v>
      </c>
      <c r="D331" s="3" t="s">
        <v>30</v>
      </c>
      <c r="E331" s="2">
        <v>0.0</v>
      </c>
      <c r="F331" s="2">
        <v>-1.0</v>
      </c>
      <c r="G331" s="2">
        <v>58.0</v>
      </c>
      <c r="H331" s="2">
        <v>0.0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3.5" customHeight="1">
      <c r="A332" s="17">
        <v>42788.083333333336</v>
      </c>
      <c r="B332" s="2">
        <v>3.0</v>
      </c>
      <c r="C332" s="2">
        <v>0.0</v>
      </c>
      <c r="D332" s="3" t="s">
        <v>155</v>
      </c>
      <c r="E332" s="2">
        <v>0.0</v>
      </c>
      <c r="F332" s="2" t="s">
        <v>136</v>
      </c>
      <c r="G332" s="2">
        <v>62.0</v>
      </c>
      <c r="H332" s="2">
        <v>0.0</v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3.5" customHeight="1">
      <c r="A333" s="17">
        <v>42789.083333333336</v>
      </c>
      <c r="B333" s="2" t="s">
        <v>52</v>
      </c>
      <c r="C333" s="2">
        <v>0.0</v>
      </c>
      <c r="D333" s="3" t="s">
        <v>108</v>
      </c>
      <c r="E333" s="2">
        <v>0.0</v>
      </c>
      <c r="F333" s="2" t="s">
        <v>36</v>
      </c>
      <c r="G333" s="2">
        <v>57.0</v>
      </c>
      <c r="H333" s="2">
        <v>0.0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3.5" customHeight="1">
      <c r="A334" s="17">
        <v>42790.083333333336</v>
      </c>
      <c r="B334" s="2" t="s">
        <v>50</v>
      </c>
      <c r="C334" s="2">
        <v>0.0</v>
      </c>
      <c r="D334" s="3" t="s">
        <v>447</v>
      </c>
      <c r="E334" s="2">
        <v>0.0</v>
      </c>
      <c r="F334" s="2">
        <v>-3.0</v>
      </c>
      <c r="G334" s="2">
        <v>62.0</v>
      </c>
      <c r="H334" s="2">
        <v>0.0</v>
      </c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3.5" customHeight="1">
      <c r="A335" s="17">
        <v>42791.083333333336</v>
      </c>
      <c r="B335" s="2" t="s">
        <v>61</v>
      </c>
      <c r="C335" s="2">
        <v>0.0</v>
      </c>
      <c r="D335" s="3" t="s">
        <v>448</v>
      </c>
      <c r="E335" s="2">
        <v>0.0</v>
      </c>
      <c r="F335" s="2" t="s">
        <v>70</v>
      </c>
      <c r="G335" s="2">
        <v>60.0</v>
      </c>
      <c r="H335" s="2">
        <v>0.0</v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3.5" customHeight="1">
      <c r="A336" s="17">
        <v>42792.083333333336</v>
      </c>
      <c r="B336" s="2">
        <v>3.0</v>
      </c>
      <c r="C336" s="2">
        <v>0.0</v>
      </c>
      <c r="D336" s="3" t="s">
        <v>449</v>
      </c>
      <c r="E336" s="2">
        <v>0.0</v>
      </c>
      <c r="F336" s="2" t="s">
        <v>102</v>
      </c>
      <c r="G336" s="2">
        <v>60.0</v>
      </c>
      <c r="H336" s="2">
        <v>0.0</v>
      </c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3.5" customHeight="1">
      <c r="A337" s="17">
        <v>42793.083333333336</v>
      </c>
      <c r="B337" s="2" t="s">
        <v>138</v>
      </c>
      <c r="C337" s="2">
        <v>0.0</v>
      </c>
      <c r="D337" s="3" t="s">
        <v>450</v>
      </c>
      <c r="E337" s="2">
        <v>0.0</v>
      </c>
      <c r="F337" s="2" t="s">
        <v>91</v>
      </c>
      <c r="G337" s="2">
        <v>57.0</v>
      </c>
      <c r="H337" s="2">
        <v>0.0</v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3.5" customHeight="1">
      <c r="A338" s="17">
        <v>42794.083333333336</v>
      </c>
      <c r="B338" s="2" t="s">
        <v>324</v>
      </c>
      <c r="C338" s="2">
        <v>0.0</v>
      </c>
      <c r="D338" s="3" t="s">
        <v>451</v>
      </c>
      <c r="E338" s="2">
        <v>0.0</v>
      </c>
      <c r="F338" s="2" t="s">
        <v>102</v>
      </c>
      <c r="G338" s="2">
        <v>62.0</v>
      </c>
      <c r="H338" s="2">
        <v>0.0</v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3.5" customHeight="1">
      <c r="A339" s="17">
        <v>42795.083333333336</v>
      </c>
      <c r="B339" s="2">
        <v>3.0</v>
      </c>
      <c r="C339" s="2">
        <v>0.0</v>
      </c>
      <c r="D339" s="3" t="s">
        <v>452</v>
      </c>
      <c r="E339" s="2">
        <v>0.0</v>
      </c>
      <c r="F339" s="2" t="s">
        <v>110</v>
      </c>
      <c r="G339" s="2">
        <v>64.0</v>
      </c>
      <c r="H339" s="2">
        <v>0.0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3.5" customHeight="1">
      <c r="A340" s="17">
        <v>42796.083333333336</v>
      </c>
      <c r="B340" s="2" t="s">
        <v>43</v>
      </c>
      <c r="C340" s="2">
        <v>0.0</v>
      </c>
      <c r="D340" s="3" t="s">
        <v>453</v>
      </c>
      <c r="E340" s="2">
        <v>0.0</v>
      </c>
      <c r="F340" s="2" t="s">
        <v>422</v>
      </c>
      <c r="G340" s="2">
        <v>70.0</v>
      </c>
      <c r="H340" s="2">
        <v>0.0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3.5" customHeight="1">
      <c r="A341" s="17">
        <v>42797.083333333336</v>
      </c>
      <c r="B341" s="2" t="s">
        <v>71</v>
      </c>
      <c r="C341" s="2">
        <v>0.0</v>
      </c>
      <c r="D341" s="3" t="s">
        <v>94</v>
      </c>
      <c r="E341" s="2">
        <v>0.0</v>
      </c>
      <c r="F341" s="2" t="s">
        <v>180</v>
      </c>
      <c r="G341" s="2">
        <v>73.0</v>
      </c>
      <c r="H341" s="2">
        <v>0.0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3.5" customHeight="1">
      <c r="A342" s="17">
        <v>42798.083333333336</v>
      </c>
      <c r="B342" s="2" t="s">
        <v>29</v>
      </c>
      <c r="C342" s="2">
        <v>0.0</v>
      </c>
      <c r="D342" s="3" t="s">
        <v>81</v>
      </c>
      <c r="E342" s="2">
        <v>0.0</v>
      </c>
      <c r="F342" s="2" t="s">
        <v>176</v>
      </c>
      <c r="G342" s="2">
        <v>71.0</v>
      </c>
      <c r="H342" s="2">
        <v>0.0</v>
      </c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3.5" customHeight="1">
      <c r="A343" s="17">
        <v>42799.083333333336</v>
      </c>
      <c r="B343" s="2" t="s">
        <v>12</v>
      </c>
      <c r="C343" s="2">
        <v>0.0</v>
      </c>
      <c r="D343" s="3" t="s">
        <v>75</v>
      </c>
      <c r="E343" s="2">
        <v>0.0</v>
      </c>
      <c r="F343" s="2" t="s">
        <v>422</v>
      </c>
      <c r="G343" s="2">
        <v>70.0</v>
      </c>
      <c r="H343" s="2">
        <v>0.0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3.5" customHeight="1">
      <c r="A344" s="17">
        <v>42800.083333333336</v>
      </c>
      <c r="B344" s="2" t="s">
        <v>12</v>
      </c>
      <c r="C344" s="2">
        <v>0.0</v>
      </c>
      <c r="D344" s="3" t="s">
        <v>63</v>
      </c>
      <c r="E344" s="2">
        <v>0.0</v>
      </c>
      <c r="F344" s="2">
        <v>-5.0</v>
      </c>
      <c r="G344" s="2">
        <v>68.0</v>
      </c>
      <c r="H344" s="2">
        <v>0.0</v>
      </c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3.5" customHeight="1">
      <c r="A345" s="17">
        <v>42801.083333333336</v>
      </c>
      <c r="B345" s="2" t="s">
        <v>71</v>
      </c>
      <c r="C345" s="2">
        <v>0.0</v>
      </c>
      <c r="D345" s="3" t="s">
        <v>454</v>
      </c>
      <c r="E345" s="2">
        <v>0.0</v>
      </c>
      <c r="F345" s="2" t="s">
        <v>176</v>
      </c>
      <c r="G345" s="2">
        <v>68.0</v>
      </c>
      <c r="H345" s="2">
        <v>0.0</v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3.5" customHeight="1">
      <c r="A346" s="17">
        <v>42802.083333333336</v>
      </c>
      <c r="B346" s="2" t="s">
        <v>37</v>
      </c>
      <c r="C346" s="2">
        <v>0.0</v>
      </c>
      <c r="D346" s="3" t="s">
        <v>313</v>
      </c>
      <c r="E346" s="2">
        <v>0.0</v>
      </c>
      <c r="F346" s="2" t="s">
        <v>455</v>
      </c>
      <c r="G346" s="2">
        <v>70.0</v>
      </c>
      <c r="H346" s="2">
        <v>0.0</v>
      </c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3.5" customHeight="1">
      <c r="A347" s="17">
        <v>42803.083333333336</v>
      </c>
      <c r="B347" s="2" t="s">
        <v>12</v>
      </c>
      <c r="C347" s="2">
        <v>0.0</v>
      </c>
      <c r="D347" s="3" t="s">
        <v>312</v>
      </c>
      <c r="E347" s="2">
        <v>0.0</v>
      </c>
      <c r="F347" s="2" t="s">
        <v>180</v>
      </c>
      <c r="G347" s="2">
        <v>71.0</v>
      </c>
      <c r="H347" s="2">
        <v>0.0</v>
      </c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3.5" customHeight="1">
      <c r="A348" s="17">
        <v>42804.083333333336</v>
      </c>
      <c r="B348" s="2" t="s">
        <v>264</v>
      </c>
      <c r="C348" s="2">
        <v>38.0</v>
      </c>
      <c r="D348" s="3" t="s">
        <v>456</v>
      </c>
      <c r="E348" s="2" t="s">
        <v>457</v>
      </c>
      <c r="F348" s="2" t="s">
        <v>458</v>
      </c>
      <c r="G348" s="2">
        <v>70.0</v>
      </c>
      <c r="H348" s="2">
        <v>0.0</v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3.5" customHeight="1">
      <c r="A349" s="17">
        <v>42805.083333333336</v>
      </c>
      <c r="B349" s="2" t="s">
        <v>40</v>
      </c>
      <c r="C349" s="2">
        <v>60.0</v>
      </c>
      <c r="D349" s="3" t="s">
        <v>172</v>
      </c>
      <c r="E349" s="2" t="s">
        <v>459</v>
      </c>
      <c r="F349" s="2" t="s">
        <v>111</v>
      </c>
      <c r="G349" s="2">
        <v>67.0</v>
      </c>
      <c r="H349" s="2">
        <v>0.0</v>
      </c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3.5" customHeight="1">
      <c r="A350" s="17">
        <v>42806.083333333336</v>
      </c>
      <c r="B350" s="2" t="s">
        <v>106</v>
      </c>
      <c r="C350" s="2">
        <v>60.0</v>
      </c>
      <c r="D350" s="3" t="s">
        <v>311</v>
      </c>
      <c r="E350" s="2" t="s">
        <v>460</v>
      </c>
      <c r="F350" s="2">
        <v>-2.0</v>
      </c>
      <c r="G350" s="2">
        <v>56.0</v>
      </c>
      <c r="H350" s="2">
        <v>1.2128333E7</v>
      </c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3.5" customHeight="1">
      <c r="A351" s="17">
        <v>42807.083333333336</v>
      </c>
      <c r="B351" s="2" t="s">
        <v>106</v>
      </c>
      <c r="C351" s="2">
        <v>60.0</v>
      </c>
      <c r="D351" s="3" t="s">
        <v>461</v>
      </c>
      <c r="E351" s="2">
        <v>131.0</v>
      </c>
      <c r="F351" s="2" t="s">
        <v>145</v>
      </c>
      <c r="G351" s="2">
        <v>53.0</v>
      </c>
      <c r="H351" s="2">
        <v>1094.0</v>
      </c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3.5" customHeight="1">
      <c r="A352" s="17">
        <v>42808.083333333336</v>
      </c>
      <c r="B352" s="2" t="s">
        <v>37</v>
      </c>
      <c r="C352" s="2">
        <v>60.0</v>
      </c>
      <c r="D352" s="3" t="s">
        <v>259</v>
      </c>
      <c r="E352" s="2" t="s">
        <v>462</v>
      </c>
      <c r="F352" s="2" t="s">
        <v>90</v>
      </c>
      <c r="G352" s="2">
        <v>56.0</v>
      </c>
      <c r="H352" s="2">
        <v>1666667.0</v>
      </c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3.5" customHeight="1">
      <c r="A353" s="17">
        <v>42809.083333333336</v>
      </c>
      <c r="B353" s="2" t="s">
        <v>101</v>
      </c>
      <c r="C353" s="2">
        <v>60.0</v>
      </c>
      <c r="D353" s="3" t="s">
        <v>258</v>
      </c>
      <c r="E353" s="2">
        <v>66.0</v>
      </c>
      <c r="F353" s="2" t="s">
        <v>16</v>
      </c>
      <c r="G353" s="2">
        <v>48.0</v>
      </c>
      <c r="H353" s="2">
        <v>1153334.0</v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3.5" customHeight="1">
      <c r="A354" s="17">
        <v>42810.083333333336</v>
      </c>
      <c r="B354" s="2" t="s">
        <v>60</v>
      </c>
      <c r="C354" s="2">
        <v>41.0</v>
      </c>
      <c r="D354" s="3" t="s">
        <v>256</v>
      </c>
      <c r="E354" s="2" t="s">
        <v>463</v>
      </c>
      <c r="F354" s="2" t="s">
        <v>136</v>
      </c>
      <c r="G354" s="2">
        <v>51.0</v>
      </c>
      <c r="H354" s="2">
        <v>1.0</v>
      </c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3.5" customHeight="1">
      <c r="A355" s="17">
        <v>42811.083333333336</v>
      </c>
      <c r="B355" s="2" t="s">
        <v>8</v>
      </c>
      <c r="C355" s="2">
        <v>0.0</v>
      </c>
      <c r="D355" s="3" t="s">
        <v>175</v>
      </c>
      <c r="E355" s="2">
        <v>0.0</v>
      </c>
      <c r="F355" s="2" t="s">
        <v>464</v>
      </c>
      <c r="G355" s="2">
        <v>60.0</v>
      </c>
      <c r="H355" s="2">
        <v>0.0</v>
      </c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3.5" customHeight="1">
      <c r="A356" s="17">
        <v>42812.083333333336</v>
      </c>
      <c r="B356" s="2">
        <v>1.0</v>
      </c>
      <c r="C356" s="2">
        <v>0.0</v>
      </c>
      <c r="D356" s="3" t="s">
        <v>465</v>
      </c>
      <c r="E356" s="2">
        <v>0.0</v>
      </c>
      <c r="F356" s="2">
        <v>-5.0</v>
      </c>
      <c r="G356" s="2">
        <v>65.0</v>
      </c>
      <c r="H356" s="2">
        <v>0.0</v>
      </c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3.5" customHeight="1">
      <c r="A357" s="17">
        <v>42813.083333333336</v>
      </c>
      <c r="B357" s="2" t="s">
        <v>106</v>
      </c>
      <c r="C357" s="2">
        <v>0.0</v>
      </c>
      <c r="D357" s="3" t="s">
        <v>299</v>
      </c>
      <c r="E357" s="2">
        <v>0.0</v>
      </c>
      <c r="F357" s="2" t="s">
        <v>178</v>
      </c>
      <c r="G357" s="2">
        <v>71.0</v>
      </c>
      <c r="H357" s="2">
        <v>0.0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3.5" customHeight="1">
      <c r="A358" s="17">
        <v>42814.083333333336</v>
      </c>
      <c r="B358" s="2" t="s">
        <v>29</v>
      </c>
      <c r="C358" s="2">
        <v>0.0</v>
      </c>
      <c r="D358" s="3" t="s">
        <v>466</v>
      </c>
      <c r="E358" s="2">
        <v>0.0</v>
      </c>
      <c r="F358" s="2" t="s">
        <v>467</v>
      </c>
      <c r="G358" s="2">
        <v>73.0</v>
      </c>
      <c r="H358" s="2">
        <v>0.0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3.5" customHeight="1">
      <c r="A359" s="17">
        <v>42815.083333333336</v>
      </c>
      <c r="B359" s="2" t="s">
        <v>106</v>
      </c>
      <c r="C359" s="2">
        <v>0.0</v>
      </c>
      <c r="D359" s="3" t="s">
        <v>271</v>
      </c>
      <c r="E359" s="2">
        <v>0.0</v>
      </c>
      <c r="F359" s="2" t="s">
        <v>455</v>
      </c>
      <c r="G359" s="2">
        <v>74.0</v>
      </c>
      <c r="H359" s="2">
        <v>0.0</v>
      </c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3.5" customHeight="1">
      <c r="A360" s="17">
        <v>42816.083333333336</v>
      </c>
      <c r="B360" s="2" t="s">
        <v>40</v>
      </c>
      <c r="C360" s="2">
        <v>0.0</v>
      </c>
      <c r="D360" s="3" t="s">
        <v>273</v>
      </c>
      <c r="E360" s="2">
        <v>0.0</v>
      </c>
      <c r="F360" s="2" t="s">
        <v>468</v>
      </c>
      <c r="G360" s="2">
        <v>81.0</v>
      </c>
      <c r="H360" s="2">
        <v>0.0</v>
      </c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3.5" customHeight="1">
      <c r="A361" s="17">
        <v>42817.083333333336</v>
      </c>
      <c r="B361" s="2">
        <v>1.0</v>
      </c>
      <c r="C361" s="2">
        <v>0.0</v>
      </c>
      <c r="D361" s="3" t="s">
        <v>275</v>
      </c>
      <c r="E361" s="2">
        <v>0.0</v>
      </c>
      <c r="F361" s="2" t="s">
        <v>469</v>
      </c>
      <c r="G361" s="2">
        <v>81.0</v>
      </c>
      <c r="H361" s="2">
        <v>0.0</v>
      </c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3.5" customHeight="1">
      <c r="A362" s="17">
        <v>42818.083333333336</v>
      </c>
      <c r="B362" s="2" t="s">
        <v>8</v>
      </c>
      <c r="C362" s="2">
        <v>0.0</v>
      </c>
      <c r="D362" s="3" t="s">
        <v>470</v>
      </c>
      <c r="E362" s="2">
        <v>0.0</v>
      </c>
      <c r="F362" s="2" t="s">
        <v>468</v>
      </c>
      <c r="G362" s="2">
        <v>81.0</v>
      </c>
      <c r="H362" s="2">
        <v>0.0</v>
      </c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3.5" customHeight="1">
      <c r="A363" s="17">
        <v>42819.083333333336</v>
      </c>
      <c r="B363" s="2" t="s">
        <v>71</v>
      </c>
      <c r="C363" s="2">
        <v>0.0</v>
      </c>
      <c r="D363" s="3" t="s">
        <v>289</v>
      </c>
      <c r="E363" s="2">
        <v>0.0</v>
      </c>
      <c r="F363" s="2" t="s">
        <v>216</v>
      </c>
      <c r="G363" s="2">
        <v>83.0</v>
      </c>
      <c r="H363" s="2">
        <v>0.0</v>
      </c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3.5" customHeight="1">
      <c r="A364" s="17">
        <v>42820.083333333336</v>
      </c>
      <c r="B364" s="2" t="s">
        <v>106</v>
      </c>
      <c r="C364" s="2">
        <v>0.0</v>
      </c>
      <c r="D364" s="3" t="s">
        <v>471</v>
      </c>
      <c r="E364" s="2">
        <v>0.0</v>
      </c>
      <c r="F364" s="2" t="s">
        <v>213</v>
      </c>
      <c r="G364" s="2">
        <v>81.0</v>
      </c>
      <c r="H364" s="2">
        <v>0.0</v>
      </c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3.5" customHeight="1">
      <c r="A365" s="17">
        <v>42821.083333333336</v>
      </c>
      <c r="B365" s="2" t="s">
        <v>40</v>
      </c>
      <c r="C365" s="2">
        <v>0.0</v>
      </c>
      <c r="D365" s="3" t="s">
        <v>472</v>
      </c>
      <c r="E365" s="2">
        <v>0.0</v>
      </c>
      <c r="F365" s="2" t="s">
        <v>473</v>
      </c>
      <c r="G365" s="2">
        <v>81.0</v>
      </c>
      <c r="H365" s="2">
        <v>0.0</v>
      </c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3.5" customHeight="1">
      <c r="A366" s="17">
        <v>42822.083333333336</v>
      </c>
      <c r="B366" s="2" t="s">
        <v>106</v>
      </c>
      <c r="C366" s="2">
        <v>0.0</v>
      </c>
      <c r="D366" s="3" t="s">
        <v>278</v>
      </c>
      <c r="E366" s="2">
        <v>0.0</v>
      </c>
      <c r="F366" s="2">
        <v>-8.0</v>
      </c>
      <c r="G366" s="2">
        <v>80.0</v>
      </c>
      <c r="H366" s="2">
        <v>0.0</v>
      </c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3.5" customHeight="1">
      <c r="A367" s="17">
        <v>42823.083333333336</v>
      </c>
      <c r="B367" s="2" t="s">
        <v>8</v>
      </c>
      <c r="C367" s="2">
        <v>0.0</v>
      </c>
      <c r="D367" s="3" t="s">
        <v>472</v>
      </c>
      <c r="E367" s="2">
        <v>0.0</v>
      </c>
      <c r="F367" s="2">
        <v>-7.0</v>
      </c>
      <c r="G367" s="2">
        <v>81.0</v>
      </c>
      <c r="H367" s="2">
        <v>0.0</v>
      </c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3.5" customHeight="1">
      <c r="A368" s="17">
        <v>42824.083333333336</v>
      </c>
      <c r="B368" s="2">
        <v>1.0</v>
      </c>
      <c r="C368" s="2">
        <v>0.0</v>
      </c>
      <c r="D368" s="3">
        <v>1026.0</v>
      </c>
      <c r="E368" s="2">
        <v>0.0</v>
      </c>
      <c r="F368" s="2" t="s">
        <v>185</v>
      </c>
      <c r="G368" s="2">
        <v>84.0</v>
      </c>
      <c r="H368" s="2">
        <v>0.0</v>
      </c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3.5" customHeight="1">
      <c r="A369" s="17">
        <v>42825.083333333336</v>
      </c>
      <c r="B369" s="2" t="s">
        <v>8</v>
      </c>
      <c r="C369" s="2">
        <v>0.0</v>
      </c>
      <c r="D369" s="3" t="s">
        <v>287</v>
      </c>
      <c r="E369" s="2">
        <v>0.0</v>
      </c>
      <c r="F369" s="2" t="s">
        <v>469</v>
      </c>
      <c r="G369" s="2">
        <v>83.0</v>
      </c>
      <c r="H369" s="2">
        <v>0.0</v>
      </c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3.5" customHeight="1">
      <c r="A370" s="17">
        <v>42826.083333333336</v>
      </c>
      <c r="B370" s="2" t="s">
        <v>106</v>
      </c>
      <c r="C370" s="2">
        <v>0.0</v>
      </c>
      <c r="D370" s="3">
        <v>1027.0</v>
      </c>
      <c r="E370" s="2">
        <v>0.0</v>
      </c>
      <c r="F370" s="2">
        <v>-7.0</v>
      </c>
      <c r="G370" s="2">
        <v>80.0</v>
      </c>
      <c r="H370" s="2">
        <v>0.0</v>
      </c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3.5" customHeight="1">
      <c r="A371" s="17">
        <v>42827.083333333336</v>
      </c>
      <c r="B371" s="2" t="s">
        <v>101</v>
      </c>
      <c r="C371" s="2">
        <v>0.0</v>
      </c>
      <c r="D371" s="3">
        <v>1028.0</v>
      </c>
      <c r="E371" s="2">
        <v>0.0</v>
      </c>
      <c r="F371" s="2" t="s">
        <v>474</v>
      </c>
      <c r="G371" s="2">
        <v>81.0</v>
      </c>
      <c r="H371" s="2">
        <v>0.0</v>
      </c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3.5" customHeight="1">
      <c r="A372" s="17">
        <v>42828.083333333336</v>
      </c>
      <c r="B372" s="2">
        <v>1.0</v>
      </c>
      <c r="C372" s="2">
        <v>19.0</v>
      </c>
      <c r="D372" s="3" t="s">
        <v>475</v>
      </c>
      <c r="E372" s="2" t="s">
        <v>476</v>
      </c>
      <c r="F372" s="2" t="s">
        <v>458</v>
      </c>
      <c r="G372" s="2">
        <v>76.0</v>
      </c>
      <c r="H372" s="2">
        <v>0.0</v>
      </c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3.5" customHeight="1">
      <c r="A373" s="17">
        <v>42829.083333333336</v>
      </c>
      <c r="B373" s="2" t="s">
        <v>37</v>
      </c>
      <c r="C373" s="2">
        <v>47.0</v>
      </c>
      <c r="D373" s="3" t="s">
        <v>247</v>
      </c>
      <c r="E373" s="2" t="s">
        <v>477</v>
      </c>
      <c r="F373" s="2">
        <v>-3.0</v>
      </c>
      <c r="G373" s="2">
        <v>66.0</v>
      </c>
      <c r="H373" s="2">
        <v>0.0</v>
      </c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3.5" customHeight="1">
      <c r="A374" s="17">
        <v>42830.083333333336</v>
      </c>
      <c r="B374" s="2" t="s">
        <v>25</v>
      </c>
      <c r="C374" s="2">
        <v>60.0</v>
      </c>
      <c r="D374" s="3">
        <v>1029.0</v>
      </c>
      <c r="E374" s="2" t="s">
        <v>478</v>
      </c>
      <c r="F374" s="2" t="s">
        <v>80</v>
      </c>
      <c r="G374" s="2">
        <v>63.0</v>
      </c>
      <c r="H374" s="2">
        <v>1.2185833E7</v>
      </c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3.5" customHeight="1">
      <c r="A375" s="17">
        <v>42831.083333333336</v>
      </c>
      <c r="B375" s="2">
        <v>2.0</v>
      </c>
      <c r="C375" s="2">
        <v>60.0</v>
      </c>
      <c r="D375" s="3" t="s">
        <v>479</v>
      </c>
      <c r="E375" s="2" t="s">
        <v>480</v>
      </c>
      <c r="F375" s="2" t="s">
        <v>31</v>
      </c>
      <c r="G375" s="2">
        <v>57.0</v>
      </c>
      <c r="H375" s="2">
        <v>1198.0</v>
      </c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3.5" customHeight="1">
      <c r="A376" s="17">
        <v>42832.083333333336</v>
      </c>
      <c r="B376" s="2" t="s">
        <v>40</v>
      </c>
      <c r="C376" s="2">
        <v>60.0</v>
      </c>
      <c r="D376" s="3" t="s">
        <v>188</v>
      </c>
      <c r="E376" s="2" t="s">
        <v>481</v>
      </c>
      <c r="F376" s="2" t="s">
        <v>145</v>
      </c>
      <c r="G376" s="2">
        <v>67.0</v>
      </c>
      <c r="H376" s="2">
        <v>1825001.0</v>
      </c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3.5" customHeight="1">
      <c r="A377" s="17">
        <v>42833.083333333336</v>
      </c>
      <c r="B377" s="2" t="s">
        <v>66</v>
      </c>
      <c r="C377" s="2">
        <v>60.0</v>
      </c>
      <c r="D377" s="3" t="s">
        <v>482</v>
      </c>
      <c r="E377" s="2" t="s">
        <v>483</v>
      </c>
      <c r="F377" s="2" t="s">
        <v>139</v>
      </c>
      <c r="G377" s="2">
        <v>68.0</v>
      </c>
      <c r="H377" s="2">
        <v>122.0</v>
      </c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3.5" customHeight="1">
      <c r="A378" s="17">
        <v>42834.083333333336</v>
      </c>
      <c r="B378" s="2" t="s">
        <v>10</v>
      </c>
      <c r="C378" s="2">
        <v>42.0</v>
      </c>
      <c r="D378" s="3" t="s">
        <v>484</v>
      </c>
      <c r="E378" s="2" t="s">
        <v>485</v>
      </c>
      <c r="F378" s="2" t="s">
        <v>296</v>
      </c>
      <c r="G378" s="2">
        <v>69.0</v>
      </c>
      <c r="H378" s="2">
        <v>61667.0</v>
      </c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3.5" customHeight="1">
      <c r="A379" s="17">
        <v>42835.083333333336</v>
      </c>
      <c r="B379" s="2" t="s">
        <v>264</v>
      </c>
      <c r="C379" s="2">
        <v>0.0</v>
      </c>
      <c r="D379" s="3" t="s">
        <v>486</v>
      </c>
      <c r="E379" s="2">
        <v>0.0</v>
      </c>
      <c r="F379" s="2" t="s">
        <v>464</v>
      </c>
      <c r="G379" s="2">
        <v>78.0</v>
      </c>
      <c r="H379" s="2">
        <v>0.0</v>
      </c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3.5" customHeight="1">
      <c r="A380" s="17">
        <v>42836.083333333336</v>
      </c>
      <c r="B380" s="2" t="s">
        <v>66</v>
      </c>
      <c r="C380" s="2">
        <v>0.0</v>
      </c>
      <c r="D380" s="3" t="s">
        <v>487</v>
      </c>
      <c r="E380" s="2">
        <v>0.0</v>
      </c>
      <c r="F380" s="2" t="s">
        <v>422</v>
      </c>
      <c r="G380" s="2">
        <v>84.0</v>
      </c>
      <c r="H380" s="2">
        <v>0.0</v>
      </c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3.5" customHeight="1">
      <c r="A381" s="17">
        <v>42837.083333333336</v>
      </c>
      <c r="B381" s="2" t="s">
        <v>12</v>
      </c>
      <c r="C381" s="2">
        <v>0.0</v>
      </c>
      <c r="D381" s="3" t="s">
        <v>190</v>
      </c>
      <c r="E381" s="2">
        <v>0.0</v>
      </c>
      <c r="F381" s="2">
        <v>-6.0</v>
      </c>
      <c r="G381" s="2">
        <v>84.0</v>
      </c>
      <c r="H381" s="2">
        <v>0.0</v>
      </c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3.5" customHeight="1">
      <c r="A382" s="17">
        <v>42838.083333333336</v>
      </c>
      <c r="B382" s="2">
        <v>1.0</v>
      </c>
      <c r="C382" s="2">
        <v>0.0</v>
      </c>
      <c r="D382" s="3" t="s">
        <v>488</v>
      </c>
      <c r="E382" s="2">
        <v>0.0</v>
      </c>
      <c r="F382" s="2" t="s">
        <v>288</v>
      </c>
      <c r="G382" s="2">
        <v>86.0</v>
      </c>
      <c r="H382" s="2">
        <v>0.0</v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3.5" customHeight="1">
      <c r="A383" s="17">
        <v>42839.083333333336</v>
      </c>
      <c r="B383" s="2" t="s">
        <v>112</v>
      </c>
      <c r="C383" s="2">
        <v>0.0</v>
      </c>
      <c r="D383" s="3" t="s">
        <v>244</v>
      </c>
      <c r="E383" s="2">
        <v>0.0</v>
      </c>
      <c r="F383" s="2" t="s">
        <v>180</v>
      </c>
      <c r="G383" s="2">
        <v>86.0</v>
      </c>
      <c r="H383" s="2">
        <v>0.0</v>
      </c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3.5" customHeight="1">
      <c r="A384" s="17">
        <v>42840.083333333336</v>
      </c>
      <c r="B384" s="2" t="s">
        <v>106</v>
      </c>
      <c r="C384" s="2">
        <v>0.0</v>
      </c>
      <c r="D384" s="3" t="s">
        <v>489</v>
      </c>
      <c r="E384" s="2">
        <v>0.0</v>
      </c>
      <c r="F384" s="2" t="s">
        <v>180</v>
      </c>
      <c r="G384" s="2">
        <v>87.0</v>
      </c>
      <c r="H384" s="2">
        <v>0.0</v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3.5" customHeight="1">
      <c r="A385" s="17">
        <v>42841.083333333336</v>
      </c>
      <c r="B385" s="2" t="s">
        <v>71</v>
      </c>
      <c r="C385" s="2">
        <v>0.0</v>
      </c>
      <c r="D385" s="3" t="s">
        <v>490</v>
      </c>
      <c r="E385" s="2">
        <v>0.0</v>
      </c>
      <c r="F385" s="2" t="s">
        <v>180</v>
      </c>
      <c r="G385" s="2">
        <v>87.0</v>
      </c>
      <c r="H385" s="2">
        <v>0.0</v>
      </c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3.5" customHeight="1">
      <c r="A386" s="17">
        <v>42842.083333333336</v>
      </c>
      <c r="B386" s="2" t="s">
        <v>106</v>
      </c>
      <c r="C386" s="2">
        <v>0.0</v>
      </c>
      <c r="D386" s="3" t="s">
        <v>491</v>
      </c>
      <c r="E386" s="2">
        <v>0.0</v>
      </c>
      <c r="F386" s="2" t="s">
        <v>178</v>
      </c>
      <c r="G386" s="2">
        <v>85.0</v>
      </c>
      <c r="H386" s="2">
        <v>0.0</v>
      </c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3.5" customHeight="1">
      <c r="A387" s="17">
        <v>42843.083333333336</v>
      </c>
      <c r="B387" s="2" t="s">
        <v>37</v>
      </c>
      <c r="C387" s="2">
        <v>0.0</v>
      </c>
      <c r="D387" s="3" t="s">
        <v>492</v>
      </c>
      <c r="E387" s="2">
        <v>0.0</v>
      </c>
      <c r="F387" s="2">
        <v>-5.0</v>
      </c>
      <c r="G387" s="2">
        <v>84.0</v>
      </c>
      <c r="H387" s="2">
        <v>0.0</v>
      </c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3.5" customHeight="1">
      <c r="A388" s="17">
        <v>42844.083333333336</v>
      </c>
      <c r="B388" s="2" t="s">
        <v>264</v>
      </c>
      <c r="C388" s="2">
        <v>0.0</v>
      </c>
      <c r="D388" s="3" t="s">
        <v>493</v>
      </c>
      <c r="E388" s="2">
        <v>0.0</v>
      </c>
      <c r="F388" s="2" t="s">
        <v>286</v>
      </c>
      <c r="G388" s="2">
        <v>83.0</v>
      </c>
      <c r="H388" s="2">
        <v>0.0</v>
      </c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3.5" customHeight="1">
      <c r="A389" s="17">
        <v>42845.083333333336</v>
      </c>
      <c r="B389" s="2">
        <v>1.0</v>
      </c>
      <c r="C389" s="2">
        <v>0.0</v>
      </c>
      <c r="D389" s="3" t="s">
        <v>245</v>
      </c>
      <c r="E389" s="2">
        <v>0.0</v>
      </c>
      <c r="F389" s="2" t="s">
        <v>494</v>
      </c>
      <c r="G389" s="2">
        <v>84.0</v>
      </c>
      <c r="H389" s="2">
        <v>0.0</v>
      </c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3.5" customHeight="1">
      <c r="A390" s="17">
        <v>42846.083333333336</v>
      </c>
      <c r="B390" s="2" t="s">
        <v>106</v>
      </c>
      <c r="C390" s="2">
        <v>0.0</v>
      </c>
      <c r="D390" s="3" t="s">
        <v>495</v>
      </c>
      <c r="E390" s="2">
        <v>0.0</v>
      </c>
      <c r="F390" s="2" t="s">
        <v>100</v>
      </c>
      <c r="G390" s="2">
        <v>82.0</v>
      </c>
      <c r="H390" s="2">
        <v>0.0</v>
      </c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3.5" customHeight="1">
      <c r="A391" s="17">
        <v>42847.083333333336</v>
      </c>
      <c r="B391" s="2" t="s">
        <v>71</v>
      </c>
      <c r="C391" s="2">
        <v>0.0</v>
      </c>
      <c r="D391" s="3" t="s">
        <v>496</v>
      </c>
      <c r="E391" s="2">
        <v>0.0</v>
      </c>
      <c r="F391" s="2">
        <v>-4.0</v>
      </c>
      <c r="G391" s="2">
        <v>84.0</v>
      </c>
      <c r="H391" s="2">
        <v>0.0</v>
      </c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3.5" customHeight="1">
      <c r="A392" s="17">
        <v>42848.083333333336</v>
      </c>
      <c r="B392" s="2" t="s">
        <v>106</v>
      </c>
      <c r="C392" s="2">
        <v>0.0</v>
      </c>
      <c r="D392" s="3" t="s">
        <v>497</v>
      </c>
      <c r="E392" s="2">
        <v>0.0</v>
      </c>
      <c r="F392" s="2">
        <v>-4.0</v>
      </c>
      <c r="G392" s="2">
        <v>90.0</v>
      </c>
      <c r="H392" s="2">
        <v>0.0</v>
      </c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3.5" customHeight="1">
      <c r="A393" s="17">
        <v>42849.083333333336</v>
      </c>
      <c r="B393" s="2" t="s">
        <v>71</v>
      </c>
      <c r="C393" s="2">
        <v>0.0</v>
      </c>
      <c r="D393" s="3" t="s">
        <v>497</v>
      </c>
      <c r="E393" s="2">
        <v>0.0</v>
      </c>
      <c r="F393" s="2" t="s">
        <v>102</v>
      </c>
      <c r="G393" s="2">
        <v>89.0</v>
      </c>
      <c r="H393" s="2">
        <v>0.0</v>
      </c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3.5" customHeight="1">
      <c r="A394" s="17">
        <v>42850.083333333336</v>
      </c>
      <c r="B394" s="2" t="s">
        <v>40</v>
      </c>
      <c r="C394" s="2">
        <v>0.0</v>
      </c>
      <c r="D394" s="3" t="s">
        <v>497</v>
      </c>
      <c r="E394" s="2">
        <v>0.0</v>
      </c>
      <c r="F394" s="2" t="s">
        <v>100</v>
      </c>
      <c r="G394" s="2">
        <v>88.0</v>
      </c>
      <c r="H394" s="2">
        <v>0.0</v>
      </c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3.5" customHeight="1">
      <c r="A395" s="17">
        <v>42851.083333333336</v>
      </c>
      <c r="B395" s="2" t="s">
        <v>24</v>
      </c>
      <c r="C395" s="2">
        <v>0.0</v>
      </c>
      <c r="D395" s="3" t="s">
        <v>486</v>
      </c>
      <c r="E395" s="2">
        <v>0.0</v>
      </c>
      <c r="F395" s="2" t="s">
        <v>110</v>
      </c>
      <c r="G395" s="2">
        <v>89.0</v>
      </c>
      <c r="H395" s="2">
        <v>0.0</v>
      </c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3.5" customHeight="1">
      <c r="A396" s="17">
        <v>42852.083333333336</v>
      </c>
      <c r="B396" s="2" t="s">
        <v>66</v>
      </c>
      <c r="C396" s="2">
        <v>0.0</v>
      </c>
      <c r="D396" s="3">
        <v>1030.0</v>
      </c>
      <c r="E396" s="2" t="s">
        <v>56</v>
      </c>
      <c r="F396" s="2" t="s">
        <v>93</v>
      </c>
      <c r="G396" s="2">
        <v>88.0</v>
      </c>
      <c r="H396" s="2">
        <v>0.0</v>
      </c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3.5" customHeight="1">
      <c r="A397" s="17">
        <v>42853.083333333336</v>
      </c>
      <c r="B397" s="2" t="s">
        <v>71</v>
      </c>
      <c r="C397" s="2">
        <v>10.0</v>
      </c>
      <c r="D397" s="3" t="s">
        <v>498</v>
      </c>
      <c r="E397" s="2">
        <v>60.0</v>
      </c>
      <c r="F397" s="2" t="s">
        <v>76</v>
      </c>
      <c r="G397" s="2">
        <v>86.0</v>
      </c>
      <c r="H397" s="2">
        <v>218.0</v>
      </c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3.5" customHeight="1">
      <c r="A398" s="17">
        <v>42854.083333333336</v>
      </c>
      <c r="B398" s="2">
        <v>1.0</v>
      </c>
      <c r="C398" s="2">
        <v>0.0</v>
      </c>
      <c r="D398" s="3" t="s">
        <v>484</v>
      </c>
      <c r="E398" s="2" t="s">
        <v>499</v>
      </c>
      <c r="F398" s="2" t="s">
        <v>306</v>
      </c>
      <c r="G398" s="2">
        <v>86.0</v>
      </c>
      <c r="H398" s="2">
        <v>328.0</v>
      </c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3.5" customHeight="1">
      <c r="A399" s="17">
        <v>42855.083333333336</v>
      </c>
      <c r="B399" s="2" t="s">
        <v>71</v>
      </c>
      <c r="C399" s="2">
        <v>0.0</v>
      </c>
      <c r="D399" s="3" t="s">
        <v>188</v>
      </c>
      <c r="E399" s="2" t="s">
        <v>500</v>
      </c>
      <c r="F399" s="2" t="s">
        <v>80</v>
      </c>
      <c r="G399" s="2">
        <v>85.0</v>
      </c>
      <c r="H399" s="2">
        <v>2768334.0</v>
      </c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3.5" customHeight="1">
      <c r="A400" s="17">
        <v>42856.083333333336</v>
      </c>
      <c r="B400" s="2" t="s">
        <v>25</v>
      </c>
      <c r="C400" s="2">
        <v>0.0</v>
      </c>
      <c r="D400" s="3" t="s">
        <v>501</v>
      </c>
      <c r="E400" s="2" t="s">
        <v>502</v>
      </c>
      <c r="F400" s="2" t="s">
        <v>119</v>
      </c>
      <c r="G400" s="2">
        <v>91.0</v>
      </c>
      <c r="H400" s="2">
        <v>2471667.0</v>
      </c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3.5" customHeight="1">
      <c r="A401" s="17">
        <v>42857.083333333336</v>
      </c>
      <c r="B401" s="2" t="s">
        <v>106</v>
      </c>
      <c r="C401" s="2">
        <v>0.0</v>
      </c>
      <c r="D401" s="3" t="s">
        <v>501</v>
      </c>
      <c r="E401" s="2" t="s">
        <v>503</v>
      </c>
      <c r="F401" s="2" t="s">
        <v>80</v>
      </c>
      <c r="G401" s="2">
        <v>90.0</v>
      </c>
      <c r="H401" s="2">
        <v>323334.0</v>
      </c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3.5" customHeight="1">
      <c r="A402" s="17">
        <v>42858.083333333336</v>
      </c>
      <c r="B402" s="2" t="s">
        <v>24</v>
      </c>
      <c r="C402" s="2">
        <v>0.0</v>
      </c>
      <c r="D402" s="3" t="s">
        <v>501</v>
      </c>
      <c r="E402" s="2">
        <v>0.0</v>
      </c>
      <c r="F402" s="2" t="s">
        <v>162</v>
      </c>
      <c r="G402" s="2">
        <v>90.0</v>
      </c>
      <c r="H402" s="2">
        <v>0.0</v>
      </c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3.5" customHeight="1">
      <c r="A403" s="17">
        <v>42859.083333333336</v>
      </c>
      <c r="B403" s="2" t="s">
        <v>28</v>
      </c>
      <c r="C403" s="2">
        <v>0.0</v>
      </c>
      <c r="D403" s="3" t="s">
        <v>247</v>
      </c>
      <c r="E403" s="2">
        <v>0.0</v>
      </c>
      <c r="F403" s="2" t="s">
        <v>119</v>
      </c>
      <c r="G403" s="2">
        <v>90.0</v>
      </c>
      <c r="H403" s="2">
        <v>0.0</v>
      </c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3.5" customHeight="1">
      <c r="A404" s="17">
        <v>42860.083333333336</v>
      </c>
      <c r="B404" s="2" t="s">
        <v>66</v>
      </c>
      <c r="C404" s="2">
        <v>0.0</v>
      </c>
      <c r="D404" s="3" t="s">
        <v>504</v>
      </c>
      <c r="E404" s="2">
        <v>0.0</v>
      </c>
      <c r="F404" s="2" t="s">
        <v>136</v>
      </c>
      <c r="G404" s="2">
        <v>91.0</v>
      </c>
      <c r="H404" s="2">
        <v>0.0</v>
      </c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3.5" customHeight="1">
      <c r="A405" s="17">
        <v>42861.083333333336</v>
      </c>
      <c r="B405" s="2" t="s">
        <v>264</v>
      </c>
      <c r="C405" s="2">
        <v>0.0</v>
      </c>
      <c r="D405" s="3" t="s">
        <v>504</v>
      </c>
      <c r="E405" s="2">
        <v>0.0</v>
      </c>
      <c r="F405" s="2" t="s">
        <v>139</v>
      </c>
      <c r="G405" s="2">
        <v>91.0</v>
      </c>
      <c r="H405" s="2">
        <v>0.0</v>
      </c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3.5" customHeight="1">
      <c r="A406" s="17">
        <v>42862.083333333336</v>
      </c>
      <c r="B406" s="2" t="s">
        <v>101</v>
      </c>
      <c r="C406" s="2">
        <v>0.0</v>
      </c>
      <c r="D406" s="3" t="s">
        <v>247</v>
      </c>
      <c r="E406" s="2">
        <v>0.0</v>
      </c>
      <c r="F406" s="2" t="s">
        <v>36</v>
      </c>
      <c r="G406" s="2">
        <v>92.0</v>
      </c>
      <c r="H406" s="2">
        <v>0.0</v>
      </c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3.5" customHeight="1">
      <c r="A407" s="17">
        <v>42863.083333333336</v>
      </c>
      <c r="B407" s="2" t="s">
        <v>45</v>
      </c>
      <c r="C407" s="2">
        <v>0.0</v>
      </c>
      <c r="D407" s="3" t="s">
        <v>501</v>
      </c>
      <c r="E407" s="2">
        <v>0.0</v>
      </c>
      <c r="F407" s="2" t="s">
        <v>68</v>
      </c>
      <c r="G407" s="2">
        <v>90.0</v>
      </c>
      <c r="H407" s="2">
        <v>0.0</v>
      </c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3.5" customHeight="1">
      <c r="A408" s="17">
        <v>42864.083333333336</v>
      </c>
      <c r="B408" s="2" t="s">
        <v>183</v>
      </c>
      <c r="C408" s="2">
        <v>0.0</v>
      </c>
      <c r="D408" s="3">
        <v>1029.0</v>
      </c>
      <c r="E408" s="2">
        <v>0.0</v>
      </c>
      <c r="F408" s="2" t="s">
        <v>80</v>
      </c>
      <c r="G408" s="2">
        <v>89.0</v>
      </c>
      <c r="H408" s="2">
        <v>0.0</v>
      </c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3.5" customHeight="1">
      <c r="A409" s="17">
        <v>42865.083333333336</v>
      </c>
      <c r="B409" s="2" t="s">
        <v>24</v>
      </c>
      <c r="C409" s="2">
        <v>0.0</v>
      </c>
      <c r="D409" s="3" t="s">
        <v>479</v>
      </c>
      <c r="E409" s="2">
        <v>0.0</v>
      </c>
      <c r="F409" s="2" t="s">
        <v>279</v>
      </c>
      <c r="G409" s="2">
        <v>91.0</v>
      </c>
      <c r="H409" s="2">
        <v>0.0</v>
      </c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3.5" customHeight="1">
      <c r="A410" s="17">
        <v>42866.083333333336</v>
      </c>
      <c r="B410" s="2">
        <v>2.0</v>
      </c>
      <c r="C410" s="2">
        <v>0.0</v>
      </c>
      <c r="D410" s="3" t="s">
        <v>482</v>
      </c>
      <c r="E410" s="2">
        <v>0.0</v>
      </c>
      <c r="F410" s="2" t="s">
        <v>505</v>
      </c>
      <c r="G410" s="2">
        <v>91.0</v>
      </c>
      <c r="H410" s="2">
        <v>0.0</v>
      </c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3.5" customHeight="1">
      <c r="A411" s="17">
        <v>42867.083333333336</v>
      </c>
      <c r="B411" s="2" t="s">
        <v>138</v>
      </c>
      <c r="C411" s="2">
        <v>0.0</v>
      </c>
      <c r="D411" s="3" t="s">
        <v>482</v>
      </c>
      <c r="E411" s="2">
        <v>0.0</v>
      </c>
      <c r="F411" s="2" t="s">
        <v>72</v>
      </c>
      <c r="G411" s="2">
        <v>91.0</v>
      </c>
      <c r="H411" s="2">
        <v>0.0</v>
      </c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3.5" customHeight="1">
      <c r="A412" s="17">
        <v>42868.083333333336</v>
      </c>
      <c r="B412" s="2" t="s">
        <v>29</v>
      </c>
      <c r="C412" s="2">
        <v>0.0</v>
      </c>
      <c r="D412" s="3" t="s">
        <v>482</v>
      </c>
      <c r="E412" s="2">
        <v>0.0</v>
      </c>
      <c r="F412" s="2">
        <v>-4.0</v>
      </c>
      <c r="G412" s="2">
        <v>91.0</v>
      </c>
      <c r="H412" s="2">
        <v>0.0</v>
      </c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3.5" customHeight="1">
      <c r="A413" s="17">
        <v>42869.083333333336</v>
      </c>
      <c r="B413" s="2" t="s">
        <v>37</v>
      </c>
      <c r="C413" s="2">
        <v>0.0</v>
      </c>
      <c r="D413" s="3" t="s">
        <v>506</v>
      </c>
      <c r="E413" s="2">
        <v>0.0</v>
      </c>
      <c r="F413" s="2" t="s">
        <v>494</v>
      </c>
      <c r="G413" s="2">
        <v>91.0</v>
      </c>
      <c r="H413" s="2">
        <v>0.0</v>
      </c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3.5" customHeight="1">
      <c r="A414" s="17">
        <v>42870.083333333336</v>
      </c>
      <c r="B414" s="2" t="s">
        <v>24</v>
      </c>
      <c r="C414" s="2">
        <v>0.0</v>
      </c>
      <c r="D414" s="3" t="s">
        <v>504</v>
      </c>
      <c r="E414" s="2">
        <v>0.0</v>
      </c>
      <c r="F414" s="2" t="s">
        <v>100</v>
      </c>
      <c r="G414" s="2">
        <v>93.0</v>
      </c>
      <c r="H414" s="2">
        <v>0.0</v>
      </c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3.5" customHeight="1">
      <c r="A415" s="17">
        <v>42871.083333333336</v>
      </c>
      <c r="B415" s="2" t="s">
        <v>106</v>
      </c>
      <c r="C415" s="2">
        <v>0.0</v>
      </c>
      <c r="D415" s="3" t="s">
        <v>186</v>
      </c>
      <c r="E415" s="2">
        <v>0.0</v>
      </c>
      <c r="F415" s="2" t="s">
        <v>104</v>
      </c>
      <c r="G415" s="2">
        <v>97.0</v>
      </c>
      <c r="H415" s="2">
        <v>0.0</v>
      </c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3.5" customHeight="1">
      <c r="A416" s="17">
        <v>42872.083333333336</v>
      </c>
      <c r="B416" s="2" t="s">
        <v>40</v>
      </c>
      <c r="C416" s="2">
        <v>0.0</v>
      </c>
      <c r="D416" s="3" t="s">
        <v>507</v>
      </c>
      <c r="E416" s="2">
        <v>0.0</v>
      </c>
      <c r="F416" s="2" t="s">
        <v>104</v>
      </c>
      <c r="G416" s="2">
        <v>98.0</v>
      </c>
      <c r="H416" s="2">
        <v>0.0</v>
      </c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3.5" customHeight="1">
      <c r="A417" s="17">
        <v>42873.083333333336</v>
      </c>
      <c r="B417" s="2" t="s">
        <v>37</v>
      </c>
      <c r="C417" s="2">
        <v>0.0</v>
      </c>
      <c r="D417" s="3" t="s">
        <v>508</v>
      </c>
      <c r="E417" s="2">
        <v>0.0</v>
      </c>
      <c r="F417" s="2" t="s">
        <v>91</v>
      </c>
      <c r="G417" s="2">
        <v>98.0</v>
      </c>
      <c r="H417" s="2">
        <v>0.0</v>
      </c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3.5" customHeight="1">
      <c r="A418" s="17">
        <v>42874.083333333336</v>
      </c>
      <c r="B418" s="2">
        <v>2.0</v>
      </c>
      <c r="C418" s="2">
        <v>0.0</v>
      </c>
      <c r="D418" s="3" t="s">
        <v>509</v>
      </c>
      <c r="E418" s="2">
        <v>0.0</v>
      </c>
      <c r="F418" s="2">
        <v>-4.0</v>
      </c>
      <c r="G418" s="2">
        <v>98.0</v>
      </c>
      <c r="H418" s="2">
        <v>0.0</v>
      </c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3.5" customHeight="1">
      <c r="A419" s="17">
        <v>42875.083333333336</v>
      </c>
      <c r="B419" s="2" t="s">
        <v>24</v>
      </c>
      <c r="C419" s="2">
        <v>0.0</v>
      </c>
      <c r="D419" s="3" t="s">
        <v>510</v>
      </c>
      <c r="E419" s="2">
        <v>0.0</v>
      </c>
      <c r="F419" s="2" t="s">
        <v>104</v>
      </c>
      <c r="G419" s="2">
        <v>98.0</v>
      </c>
      <c r="H419" s="2">
        <v>0.0</v>
      </c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3.5" customHeight="1">
      <c r="A420" s="17">
        <v>42876.083333333336</v>
      </c>
      <c r="B420" s="2" t="s">
        <v>112</v>
      </c>
      <c r="C420" s="2">
        <v>0.0</v>
      </c>
      <c r="D420" s="3" t="s">
        <v>509</v>
      </c>
      <c r="E420" s="2" t="s">
        <v>89</v>
      </c>
      <c r="F420" s="2" t="s">
        <v>116</v>
      </c>
      <c r="G420" s="2">
        <v>98.0</v>
      </c>
      <c r="H420" s="2">
        <v>0.0</v>
      </c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3.5" customHeight="1">
      <c r="A421" s="17">
        <v>42877.083333333336</v>
      </c>
      <c r="B421" s="2" t="s">
        <v>25</v>
      </c>
      <c r="C421" s="2">
        <v>0.0</v>
      </c>
      <c r="D421" s="3" t="s">
        <v>510</v>
      </c>
      <c r="E421" s="2" t="s">
        <v>511</v>
      </c>
      <c r="F421" s="2" t="s">
        <v>277</v>
      </c>
      <c r="G421" s="2">
        <v>98.0</v>
      </c>
      <c r="H421" s="2">
        <v>489.0</v>
      </c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3.5" customHeight="1">
      <c r="A422" s="17">
        <v>42878.083333333336</v>
      </c>
      <c r="B422" s="2" t="s">
        <v>71</v>
      </c>
      <c r="C422" s="2">
        <v>0.0</v>
      </c>
      <c r="D422" s="3" t="s">
        <v>512</v>
      </c>
      <c r="E422" s="2" t="s">
        <v>513</v>
      </c>
      <c r="F422" s="2" t="s">
        <v>80</v>
      </c>
      <c r="G422" s="2">
        <v>99.0</v>
      </c>
      <c r="H422" s="2">
        <v>5584999.0</v>
      </c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3.5" customHeight="1">
      <c r="A423" s="17">
        <v>42879.083333333336</v>
      </c>
      <c r="B423" s="2" t="s">
        <v>71</v>
      </c>
      <c r="C423" s="2">
        <v>0.0</v>
      </c>
      <c r="D423" s="3" t="s">
        <v>514</v>
      </c>
      <c r="E423" s="2" t="s">
        <v>515</v>
      </c>
      <c r="F423" s="2" t="s">
        <v>36</v>
      </c>
      <c r="G423" s="2">
        <v>99.0</v>
      </c>
      <c r="H423" s="2">
        <v>6256666.0</v>
      </c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3.5" customHeight="1">
      <c r="A424" s="17">
        <v>42880.083333333336</v>
      </c>
      <c r="B424" s="2" t="s">
        <v>29</v>
      </c>
      <c r="C424" s="2">
        <v>0.0</v>
      </c>
      <c r="D424" s="3">
        <v>1026.0</v>
      </c>
      <c r="E424" s="2" t="s">
        <v>516</v>
      </c>
      <c r="F424" s="2">
        <v>-2.0</v>
      </c>
      <c r="G424" s="2">
        <v>99.0</v>
      </c>
      <c r="H424" s="2">
        <v>5738333.0</v>
      </c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3.5" customHeight="1">
      <c r="A425" s="17">
        <v>42881.083333333336</v>
      </c>
      <c r="B425" s="2" t="s">
        <v>37</v>
      </c>
      <c r="C425" s="2">
        <v>0.0</v>
      </c>
      <c r="D425" s="3" t="s">
        <v>472</v>
      </c>
      <c r="E425" s="2" t="s">
        <v>517</v>
      </c>
      <c r="F425" s="2">
        <v>-2.0</v>
      </c>
      <c r="G425" s="2">
        <v>99.0</v>
      </c>
      <c r="H425" s="2">
        <v>4783333.0</v>
      </c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3.5" customHeight="1">
      <c r="A426" s="17">
        <v>42882.083333333336</v>
      </c>
      <c r="B426" s="2" t="s">
        <v>86</v>
      </c>
      <c r="C426" s="2">
        <v>0.0</v>
      </c>
      <c r="D426" s="3" t="s">
        <v>518</v>
      </c>
      <c r="E426" s="2" t="s">
        <v>519</v>
      </c>
      <c r="F426" s="2">
        <v>-2.0</v>
      </c>
      <c r="G426" s="2">
        <v>98.0</v>
      </c>
      <c r="H426" s="2">
        <v>726667.0</v>
      </c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3.5" customHeight="1">
      <c r="A427" s="17">
        <v>42883.083333333336</v>
      </c>
      <c r="B427" s="2" t="s">
        <v>40</v>
      </c>
      <c r="C427" s="2">
        <v>0.0</v>
      </c>
      <c r="D427" s="3" t="s">
        <v>518</v>
      </c>
      <c r="E427" s="2">
        <v>0.0</v>
      </c>
      <c r="F427" s="2">
        <v>-2.0</v>
      </c>
      <c r="G427" s="2">
        <v>99.0</v>
      </c>
      <c r="H427" s="2">
        <v>0.0</v>
      </c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3.5" customHeight="1">
      <c r="A428" s="17">
        <v>42884.083333333336</v>
      </c>
      <c r="B428" s="2" t="s">
        <v>264</v>
      </c>
      <c r="C428" s="2">
        <v>0.0</v>
      </c>
      <c r="D428" s="3" t="s">
        <v>518</v>
      </c>
      <c r="E428" s="2">
        <v>0.0</v>
      </c>
      <c r="F428" s="2" t="s">
        <v>68</v>
      </c>
      <c r="G428" s="2">
        <v>99.0</v>
      </c>
      <c r="H428" s="2">
        <v>0.0</v>
      </c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3.5" customHeight="1">
      <c r="A429" s="17">
        <v>42885.083333333336</v>
      </c>
      <c r="B429" s="2" t="s">
        <v>28</v>
      </c>
      <c r="C429" s="2">
        <v>0.0</v>
      </c>
      <c r="D429" s="3" t="s">
        <v>520</v>
      </c>
      <c r="E429" s="2">
        <v>0.0</v>
      </c>
      <c r="F429" s="2" t="s">
        <v>36</v>
      </c>
      <c r="G429" s="2">
        <v>99.0</v>
      </c>
      <c r="H429" s="2">
        <v>0.0</v>
      </c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3.5" customHeight="1">
      <c r="A430" s="17">
        <v>42886.083333333336</v>
      </c>
      <c r="B430" s="2" t="s">
        <v>106</v>
      </c>
      <c r="C430" s="2">
        <v>0.0</v>
      </c>
      <c r="D430" s="3" t="s">
        <v>520</v>
      </c>
      <c r="E430" s="2">
        <v>0.0</v>
      </c>
      <c r="F430" s="2">
        <v>-2.0</v>
      </c>
      <c r="G430" s="2">
        <v>99.0</v>
      </c>
      <c r="H430" s="2">
        <v>0.0</v>
      </c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3.5" customHeight="1">
      <c r="A431" s="17">
        <v>42887.083333333336</v>
      </c>
      <c r="B431" s="2" t="s">
        <v>106</v>
      </c>
      <c r="C431" s="2">
        <v>0.0</v>
      </c>
      <c r="D431" s="3" t="s">
        <v>521</v>
      </c>
      <c r="E431" s="2">
        <v>0.0</v>
      </c>
      <c r="F431" s="2" t="s">
        <v>139</v>
      </c>
      <c r="G431" s="2">
        <v>99.0</v>
      </c>
      <c r="H431" s="2">
        <v>0.0</v>
      </c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3.5" customHeight="1">
      <c r="A432" s="17">
        <v>42888.083333333336</v>
      </c>
      <c r="B432" s="2" t="s">
        <v>28</v>
      </c>
      <c r="C432" s="2">
        <v>0.0</v>
      </c>
      <c r="D432" s="3" t="s">
        <v>518</v>
      </c>
      <c r="E432" s="2">
        <v>0.0</v>
      </c>
      <c r="F432" s="2" t="s">
        <v>68</v>
      </c>
      <c r="G432" s="2">
        <v>99.0</v>
      </c>
      <c r="H432" s="2">
        <v>0.0</v>
      </c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3.5" customHeight="1">
      <c r="A433" s="17">
        <v>42889.083333333336</v>
      </c>
      <c r="B433" s="2" t="s">
        <v>28</v>
      </c>
      <c r="C433" s="2">
        <v>0.0</v>
      </c>
      <c r="D433" s="3" t="s">
        <v>521</v>
      </c>
      <c r="E433" s="2">
        <v>0.0</v>
      </c>
      <c r="F433" s="2">
        <v>-2.0</v>
      </c>
      <c r="G433" s="2">
        <v>99.0</v>
      </c>
      <c r="H433" s="2">
        <v>0.0</v>
      </c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3.5" customHeight="1">
      <c r="A434" s="17">
        <v>42890.083333333336</v>
      </c>
      <c r="B434" s="2" t="s">
        <v>40</v>
      </c>
      <c r="C434" s="2">
        <v>0.0</v>
      </c>
      <c r="D434" s="3" t="s">
        <v>181</v>
      </c>
      <c r="E434" s="2">
        <v>0.0</v>
      </c>
      <c r="F434" s="2">
        <v>-2.0</v>
      </c>
      <c r="G434" s="2">
        <v>99.0</v>
      </c>
      <c r="H434" s="2">
        <v>0.0</v>
      </c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3.5" customHeight="1">
      <c r="A435" s="17">
        <v>42891.083333333336</v>
      </c>
      <c r="B435" s="2" t="s">
        <v>25</v>
      </c>
      <c r="C435" s="2">
        <v>0.0</v>
      </c>
      <c r="D435" s="3" t="s">
        <v>521</v>
      </c>
      <c r="E435" s="2">
        <v>0.0</v>
      </c>
      <c r="F435" s="2" t="s">
        <v>296</v>
      </c>
      <c r="G435" s="2">
        <v>99.0</v>
      </c>
      <c r="H435" s="2">
        <v>0.0</v>
      </c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3.5" customHeight="1">
      <c r="A436" s="17">
        <v>42892.083333333336</v>
      </c>
      <c r="B436" s="2" t="s">
        <v>264</v>
      </c>
      <c r="C436" s="2">
        <v>0.0</v>
      </c>
      <c r="D436" s="3" t="s">
        <v>521</v>
      </c>
      <c r="E436" s="2">
        <v>0.0</v>
      </c>
      <c r="F436" s="2" t="s">
        <v>296</v>
      </c>
      <c r="G436" s="2">
        <v>99.0</v>
      </c>
      <c r="H436" s="2">
        <v>0.0</v>
      </c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3.5" customHeight="1">
      <c r="A437" s="17">
        <v>42893.083333333336</v>
      </c>
      <c r="B437" s="2" t="s">
        <v>29</v>
      </c>
      <c r="C437" s="2">
        <v>0.0</v>
      </c>
      <c r="D437" s="3" t="s">
        <v>522</v>
      </c>
      <c r="E437" s="2">
        <v>0.0</v>
      </c>
      <c r="F437" s="2" t="s">
        <v>76</v>
      </c>
      <c r="G437" s="2">
        <v>97.0</v>
      </c>
      <c r="H437" s="2">
        <v>0.0</v>
      </c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3.5" customHeight="1">
      <c r="A438" s="17">
        <v>42894.083333333336</v>
      </c>
      <c r="B438" s="2" t="s">
        <v>28</v>
      </c>
      <c r="C438" s="2">
        <v>0.0</v>
      </c>
      <c r="D438" s="3" t="s">
        <v>522</v>
      </c>
      <c r="E438" s="2">
        <v>0.0</v>
      </c>
      <c r="F438" s="2" t="s">
        <v>76</v>
      </c>
      <c r="G438" s="2">
        <v>97.0</v>
      </c>
      <c r="H438" s="2">
        <v>0.0</v>
      </c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3.5" customHeight="1">
      <c r="A439" s="17">
        <v>42895.083333333336</v>
      </c>
      <c r="B439" s="2" t="s">
        <v>264</v>
      </c>
      <c r="C439" s="2">
        <v>0.0</v>
      </c>
      <c r="D439" s="3" t="s">
        <v>471</v>
      </c>
      <c r="E439" s="2">
        <v>0.0</v>
      </c>
      <c r="F439" s="2" t="s">
        <v>116</v>
      </c>
      <c r="G439" s="2">
        <v>97.0</v>
      </c>
      <c r="H439" s="2">
        <v>0.0</v>
      </c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3.5" customHeight="1">
      <c r="A440" s="17">
        <v>42896.083333333336</v>
      </c>
      <c r="B440" s="2" t="s">
        <v>37</v>
      </c>
      <c r="C440" s="2">
        <v>0.0</v>
      </c>
      <c r="D440" s="3" t="s">
        <v>276</v>
      </c>
      <c r="E440" s="2">
        <v>0.0</v>
      </c>
      <c r="F440" s="2" t="s">
        <v>119</v>
      </c>
      <c r="G440" s="2">
        <v>98.0</v>
      </c>
      <c r="H440" s="2">
        <v>0.0</v>
      </c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3.5" customHeight="1">
      <c r="A441" s="17">
        <v>42897.083333333336</v>
      </c>
      <c r="B441" s="2" t="s">
        <v>28</v>
      </c>
      <c r="C441" s="2">
        <v>0.0</v>
      </c>
      <c r="D441" s="3" t="s">
        <v>291</v>
      </c>
      <c r="E441" s="2">
        <v>0.0</v>
      </c>
      <c r="F441" s="2" t="s">
        <v>523</v>
      </c>
      <c r="G441" s="2">
        <v>99.0</v>
      </c>
      <c r="H441" s="2">
        <v>0.0</v>
      </c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3.5" customHeight="1">
      <c r="A442" s="17">
        <v>42898.083333333336</v>
      </c>
      <c r="B442" s="2" t="s">
        <v>66</v>
      </c>
      <c r="C442" s="2">
        <v>0.0</v>
      </c>
      <c r="D442" s="3" t="s">
        <v>179</v>
      </c>
      <c r="E442" s="2">
        <v>0.0</v>
      </c>
      <c r="F442" s="2" t="s">
        <v>31</v>
      </c>
      <c r="G442" s="2">
        <v>99.0</v>
      </c>
      <c r="H442" s="2">
        <v>0.0</v>
      </c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3.5" customHeight="1">
      <c r="A443" s="17">
        <v>42899.083333333336</v>
      </c>
      <c r="B443" s="2" t="s">
        <v>66</v>
      </c>
      <c r="C443" s="2">
        <v>0.0</v>
      </c>
      <c r="D443" s="3" t="s">
        <v>275</v>
      </c>
      <c r="E443" s="2">
        <v>0.0</v>
      </c>
      <c r="F443" s="2" t="s">
        <v>127</v>
      </c>
      <c r="G443" s="2">
        <v>99.0</v>
      </c>
      <c r="H443" s="2">
        <v>0.0</v>
      </c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3.5" customHeight="1">
      <c r="A444" s="17">
        <v>42900.083333333336</v>
      </c>
      <c r="B444" s="2" t="s">
        <v>25</v>
      </c>
      <c r="C444" s="2">
        <v>0.0</v>
      </c>
      <c r="D444" s="3" t="s">
        <v>275</v>
      </c>
      <c r="E444" s="2">
        <v>0.0</v>
      </c>
      <c r="F444" s="2" t="s">
        <v>14</v>
      </c>
      <c r="G444" s="2">
        <v>99.0</v>
      </c>
      <c r="H444" s="2">
        <v>0.0</v>
      </c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3.5" customHeight="1">
      <c r="A445" s="17">
        <v>42901.083333333336</v>
      </c>
      <c r="B445" s="2" t="s">
        <v>28</v>
      </c>
      <c r="C445" s="2">
        <v>0.0</v>
      </c>
      <c r="D445" s="3" t="s">
        <v>524</v>
      </c>
      <c r="E445" s="2" t="s">
        <v>525</v>
      </c>
      <c r="F445" s="2">
        <v>0.0</v>
      </c>
      <c r="G445" s="2">
        <v>99.0</v>
      </c>
      <c r="H445" s="2">
        <v>0.0</v>
      </c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3.5" customHeight="1">
      <c r="A446" s="17">
        <v>42902.083333333336</v>
      </c>
      <c r="B446" s="2" t="s">
        <v>40</v>
      </c>
      <c r="C446" s="2">
        <v>0.0</v>
      </c>
      <c r="D446" s="3" t="s">
        <v>294</v>
      </c>
      <c r="E446" s="2" t="s">
        <v>526</v>
      </c>
      <c r="F446" s="2">
        <v>0.0</v>
      </c>
      <c r="G446" s="2">
        <v>99.0</v>
      </c>
      <c r="H446" s="2">
        <v>0.0</v>
      </c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3.5" customHeight="1">
      <c r="A447" s="17">
        <v>42903.083333333336</v>
      </c>
      <c r="B447" s="2" t="s">
        <v>24</v>
      </c>
      <c r="C447" s="2">
        <v>0.0</v>
      </c>
      <c r="D447" s="3" t="s">
        <v>294</v>
      </c>
      <c r="E447" s="2" t="s">
        <v>527</v>
      </c>
      <c r="F447" s="2" t="s">
        <v>28</v>
      </c>
      <c r="G447" s="2">
        <v>98.0</v>
      </c>
      <c r="H447" s="2">
        <v>124.0</v>
      </c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3.5" customHeight="1">
      <c r="A448" s="17">
        <v>42904.083333333336</v>
      </c>
      <c r="B448" s="2" t="s">
        <v>28</v>
      </c>
      <c r="C448" s="2">
        <v>0.0</v>
      </c>
      <c r="D448" s="3" t="s">
        <v>294</v>
      </c>
      <c r="E448" s="2" t="s">
        <v>528</v>
      </c>
      <c r="F448" s="2" t="s">
        <v>71</v>
      </c>
      <c r="G448" s="2">
        <v>98.0</v>
      </c>
      <c r="H448" s="2">
        <v>1441666.0</v>
      </c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3.5" customHeight="1">
      <c r="A449" s="17">
        <v>42905.083333333336</v>
      </c>
      <c r="B449" s="2" t="s">
        <v>8</v>
      </c>
      <c r="C449" s="2">
        <v>0.0</v>
      </c>
      <c r="D449" s="3" t="s">
        <v>292</v>
      </c>
      <c r="E449" s="2" t="s">
        <v>529</v>
      </c>
      <c r="F449" s="2" t="s">
        <v>264</v>
      </c>
      <c r="G449" s="2">
        <v>98.0</v>
      </c>
      <c r="H449" s="2">
        <v>58.0</v>
      </c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3.5" customHeight="1">
      <c r="A450" s="17">
        <v>42906.083333333336</v>
      </c>
      <c r="B450" s="2" t="s">
        <v>45</v>
      </c>
      <c r="C450" s="2">
        <v>0.0</v>
      </c>
      <c r="D450" s="3" t="s">
        <v>294</v>
      </c>
      <c r="E450" s="2" t="s">
        <v>150</v>
      </c>
      <c r="F450" s="2" t="s">
        <v>29</v>
      </c>
      <c r="G450" s="2">
        <v>97.0</v>
      </c>
      <c r="H450" s="2">
        <v>23333.0</v>
      </c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3.5" customHeight="1">
      <c r="A451" s="17">
        <v>42907.083333333336</v>
      </c>
      <c r="B451" s="2" t="s">
        <v>43</v>
      </c>
      <c r="C451" s="2">
        <v>0.0</v>
      </c>
      <c r="D451" s="3" t="s">
        <v>530</v>
      </c>
      <c r="E451" s="2">
        <v>0.0</v>
      </c>
      <c r="F451" s="2" t="s">
        <v>17</v>
      </c>
      <c r="G451" s="2">
        <v>94.0</v>
      </c>
      <c r="H451" s="2">
        <v>0.0</v>
      </c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3.5" customHeight="1">
      <c r="A452" s="17">
        <v>42908.083333333336</v>
      </c>
      <c r="B452" s="2">
        <v>2.0</v>
      </c>
      <c r="C452" s="2">
        <v>0.0</v>
      </c>
      <c r="D452" s="3" t="s">
        <v>273</v>
      </c>
      <c r="E452" s="2">
        <v>0.0</v>
      </c>
      <c r="F452" s="2" t="s">
        <v>60</v>
      </c>
      <c r="G452" s="2">
        <v>93.0</v>
      </c>
      <c r="H452" s="2">
        <v>0.0</v>
      </c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3.5" customHeight="1">
      <c r="A453" s="17">
        <v>42909.083333333336</v>
      </c>
      <c r="B453" s="2" t="s">
        <v>25</v>
      </c>
      <c r="C453" s="2">
        <v>0.0</v>
      </c>
      <c r="D453" s="3" t="s">
        <v>273</v>
      </c>
      <c r="E453" s="2">
        <v>0.0</v>
      </c>
      <c r="F453" s="2" t="s">
        <v>24</v>
      </c>
      <c r="G453" s="2">
        <v>93.0</v>
      </c>
      <c r="H453" s="2">
        <v>0.0</v>
      </c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3.5" customHeight="1">
      <c r="A454" s="17">
        <v>42910.083333333336</v>
      </c>
      <c r="B454" s="2" t="s">
        <v>264</v>
      </c>
      <c r="C454" s="2">
        <v>0.0</v>
      </c>
      <c r="D454" s="3" t="s">
        <v>179</v>
      </c>
      <c r="E454" s="2">
        <v>0.0</v>
      </c>
      <c r="F454" s="2" t="s">
        <v>29</v>
      </c>
      <c r="G454" s="2">
        <v>93.0</v>
      </c>
      <c r="H454" s="2">
        <v>0.0</v>
      </c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3.5" customHeight="1">
      <c r="A455" s="17">
        <v>42911.083333333336</v>
      </c>
      <c r="B455" s="2" t="s">
        <v>264</v>
      </c>
      <c r="C455" s="2">
        <v>0.0</v>
      </c>
      <c r="D455" s="3" t="s">
        <v>179</v>
      </c>
      <c r="E455" s="2">
        <v>0.0</v>
      </c>
      <c r="F455" s="2" t="s">
        <v>40</v>
      </c>
      <c r="G455" s="2">
        <v>92.0</v>
      </c>
      <c r="H455" s="2">
        <v>0.0</v>
      </c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3.5" customHeight="1">
      <c r="A456" s="17">
        <v>42912.083333333336</v>
      </c>
      <c r="B456" s="2">
        <v>3.0</v>
      </c>
      <c r="C456" s="2">
        <v>0.0</v>
      </c>
      <c r="D456" s="3" t="s">
        <v>249</v>
      </c>
      <c r="E456" s="2">
        <v>0.0</v>
      </c>
      <c r="F456" s="2" t="s">
        <v>24</v>
      </c>
      <c r="G456" s="2">
        <v>93.0</v>
      </c>
      <c r="H456" s="2">
        <v>0.0</v>
      </c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3.5" customHeight="1">
      <c r="A457" s="17">
        <v>42913.083333333336</v>
      </c>
      <c r="B457" s="2" t="s">
        <v>101</v>
      </c>
      <c r="C457" s="2">
        <v>0.0</v>
      </c>
      <c r="D457" s="3" t="s">
        <v>249</v>
      </c>
      <c r="E457" s="2">
        <v>0.0</v>
      </c>
      <c r="F457" s="2" t="s">
        <v>101</v>
      </c>
      <c r="G457" s="2">
        <v>91.0</v>
      </c>
      <c r="H457" s="2">
        <v>0.0</v>
      </c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3.5" customHeight="1">
      <c r="A458" s="17">
        <v>42914.083333333336</v>
      </c>
      <c r="B458" s="2" t="s">
        <v>28</v>
      </c>
      <c r="C458" s="2">
        <v>0.0</v>
      </c>
      <c r="D458" s="3" t="s">
        <v>249</v>
      </c>
      <c r="E458" s="2">
        <v>0.0</v>
      </c>
      <c r="F458" s="2" t="s">
        <v>29</v>
      </c>
      <c r="G458" s="2">
        <v>92.0</v>
      </c>
      <c r="H458" s="2">
        <v>0.0</v>
      </c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3.5" customHeight="1">
      <c r="A459" s="17">
        <v>42915.083333333336</v>
      </c>
      <c r="B459" s="2" t="s">
        <v>71</v>
      </c>
      <c r="C459" s="2">
        <v>0.0</v>
      </c>
      <c r="D459" s="3" t="s">
        <v>290</v>
      </c>
      <c r="E459" s="2">
        <v>0.0</v>
      </c>
      <c r="F459" s="2" t="s">
        <v>37</v>
      </c>
      <c r="G459" s="2">
        <v>93.0</v>
      </c>
      <c r="H459" s="2">
        <v>0.0</v>
      </c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3.5" customHeight="1">
      <c r="A460" s="17">
        <v>42916.083333333336</v>
      </c>
      <c r="B460" s="2">
        <v>1.0</v>
      </c>
      <c r="C460" s="2">
        <v>0.0</v>
      </c>
      <c r="D460" s="3" t="s">
        <v>179</v>
      </c>
      <c r="E460" s="2">
        <v>0.0</v>
      </c>
      <c r="F460" s="2" t="s">
        <v>37</v>
      </c>
      <c r="G460" s="2">
        <v>92.0</v>
      </c>
      <c r="H460" s="2">
        <v>0.0</v>
      </c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3.5" customHeight="1">
      <c r="A461" s="17">
        <v>42917.083333333336</v>
      </c>
      <c r="B461" s="2" t="s">
        <v>101</v>
      </c>
      <c r="C461" s="2">
        <v>0.0</v>
      </c>
      <c r="D461" s="3" t="s">
        <v>524</v>
      </c>
      <c r="E461" s="2">
        <v>0.0</v>
      </c>
      <c r="F461" s="2" t="s">
        <v>40</v>
      </c>
      <c r="G461" s="2">
        <v>93.0</v>
      </c>
      <c r="H461" s="2">
        <v>0.0</v>
      </c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3.5" customHeight="1">
      <c r="A462" s="17">
        <v>42918.083333333336</v>
      </c>
      <c r="B462" s="2" t="s">
        <v>8</v>
      </c>
      <c r="C462" s="2">
        <v>0.0</v>
      </c>
      <c r="D462" s="3" t="s">
        <v>273</v>
      </c>
      <c r="E462" s="2">
        <v>0.0</v>
      </c>
      <c r="F462" s="2">
        <v>2.0</v>
      </c>
      <c r="G462" s="2">
        <v>90.0</v>
      </c>
      <c r="H462" s="2">
        <v>0.0</v>
      </c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3.5" customHeight="1">
      <c r="A463" s="17">
        <v>42919.083333333336</v>
      </c>
      <c r="B463" s="2" t="s">
        <v>12</v>
      </c>
      <c r="C463" s="2">
        <v>0.0</v>
      </c>
      <c r="D463" s="3" t="s">
        <v>531</v>
      </c>
      <c r="E463" s="2">
        <v>0.0</v>
      </c>
      <c r="F463" s="2" t="s">
        <v>12</v>
      </c>
      <c r="G463" s="2">
        <v>93.0</v>
      </c>
      <c r="H463" s="2">
        <v>0.0</v>
      </c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3.5" customHeight="1">
      <c r="A464" s="17">
        <v>42920.083333333336</v>
      </c>
      <c r="B464" s="2" t="s">
        <v>264</v>
      </c>
      <c r="C464" s="2">
        <v>0.0</v>
      </c>
      <c r="D464" s="3" t="s">
        <v>271</v>
      </c>
      <c r="E464" s="2">
        <v>0.0</v>
      </c>
      <c r="F464" s="2" t="s">
        <v>43</v>
      </c>
      <c r="G464" s="2">
        <v>91.0</v>
      </c>
      <c r="H464" s="2">
        <v>0.0</v>
      </c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3.5" customHeight="1">
      <c r="A465" s="17">
        <v>42921.083333333336</v>
      </c>
      <c r="B465" s="2" t="s">
        <v>101</v>
      </c>
      <c r="C465" s="2">
        <v>0.0</v>
      </c>
      <c r="D465" s="3" t="s">
        <v>252</v>
      </c>
      <c r="E465" s="2">
        <v>0.0</v>
      </c>
      <c r="F465" s="2" t="s">
        <v>138</v>
      </c>
      <c r="G465" s="2">
        <v>90.0</v>
      </c>
      <c r="H465" s="2">
        <v>0.0</v>
      </c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3.5" customHeight="1">
      <c r="A466" s="17">
        <v>42922.083333333336</v>
      </c>
      <c r="B466" s="2" t="s">
        <v>25</v>
      </c>
      <c r="C466" s="2">
        <v>0.0</v>
      </c>
      <c r="D466" s="3" t="s">
        <v>297</v>
      </c>
      <c r="E466" s="2">
        <v>0.0</v>
      </c>
      <c r="F466" s="2" t="s">
        <v>60</v>
      </c>
      <c r="G466" s="2">
        <v>88.0</v>
      </c>
      <c r="H466" s="2">
        <v>0.0</v>
      </c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3.5" customHeight="1">
      <c r="A467" s="17">
        <v>42923.083333333336</v>
      </c>
      <c r="B467" s="2" t="s">
        <v>264</v>
      </c>
      <c r="C467" s="2">
        <v>0.0</v>
      </c>
      <c r="D467" s="3" t="s">
        <v>530</v>
      </c>
      <c r="E467" s="2">
        <v>0.0</v>
      </c>
      <c r="F467" s="2" t="s">
        <v>138</v>
      </c>
      <c r="G467" s="2">
        <v>89.0</v>
      </c>
      <c r="H467" s="2">
        <v>0.0</v>
      </c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3.5" customHeight="1">
      <c r="A468" s="17">
        <v>42924.083333333336</v>
      </c>
      <c r="B468" s="2" t="s">
        <v>71</v>
      </c>
      <c r="C468" s="2">
        <v>0.0</v>
      </c>
      <c r="D468" s="3" t="s">
        <v>532</v>
      </c>
      <c r="E468" s="2">
        <v>8.0</v>
      </c>
      <c r="F468" s="2" t="s">
        <v>60</v>
      </c>
      <c r="G468" s="2">
        <v>87.0</v>
      </c>
      <c r="H468" s="2">
        <v>0.0</v>
      </c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3.5" customHeight="1">
      <c r="A469" s="17">
        <v>42925.083333333336</v>
      </c>
      <c r="B469" s="2">
        <v>2.0</v>
      </c>
      <c r="C469" s="2">
        <v>0.0</v>
      </c>
      <c r="D469" s="3" t="s">
        <v>179</v>
      </c>
      <c r="E469" s="2" t="s">
        <v>533</v>
      </c>
      <c r="F469" s="2" t="s">
        <v>58</v>
      </c>
      <c r="G469" s="2">
        <v>86.0</v>
      </c>
      <c r="H469" s="2">
        <v>1723333.0</v>
      </c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3.5" customHeight="1">
      <c r="A470" s="17">
        <v>42926.083333333336</v>
      </c>
      <c r="B470" s="2" t="s">
        <v>138</v>
      </c>
      <c r="C470" s="2">
        <v>0.0</v>
      </c>
      <c r="D470" s="3" t="s">
        <v>275</v>
      </c>
      <c r="E470" s="2" t="s">
        <v>534</v>
      </c>
      <c r="F470" s="2" t="s">
        <v>52</v>
      </c>
      <c r="G470" s="2">
        <v>82.0</v>
      </c>
      <c r="H470" s="2">
        <v>5546666.0</v>
      </c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3.5" customHeight="1">
      <c r="A471" s="17">
        <v>42927.083333333336</v>
      </c>
      <c r="B471" s="2" t="s">
        <v>29</v>
      </c>
      <c r="C471" s="2">
        <v>29.0</v>
      </c>
      <c r="D471" s="3" t="s">
        <v>524</v>
      </c>
      <c r="E471" s="2" t="s">
        <v>535</v>
      </c>
      <c r="F471" s="2" t="s">
        <v>49</v>
      </c>
      <c r="G471" s="2">
        <v>77.0</v>
      </c>
      <c r="H471" s="2">
        <v>574.0</v>
      </c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3.5" customHeight="1">
      <c r="A472" s="17">
        <v>42928.083333333336</v>
      </c>
      <c r="B472" s="2" t="s">
        <v>264</v>
      </c>
      <c r="C472" s="2">
        <v>32.0</v>
      </c>
      <c r="D472" s="3" t="s">
        <v>273</v>
      </c>
      <c r="E472" s="2" t="s">
        <v>536</v>
      </c>
      <c r="F472" s="2" t="s">
        <v>326</v>
      </c>
      <c r="G472" s="2">
        <v>78.0</v>
      </c>
      <c r="H472" s="2">
        <v>1398334.0</v>
      </c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3.5" customHeight="1">
      <c r="A473" s="17">
        <v>42929.083333333336</v>
      </c>
      <c r="B473" s="2" t="s">
        <v>71</v>
      </c>
      <c r="C473" s="2">
        <v>0.0</v>
      </c>
      <c r="D473" s="3" t="s">
        <v>294</v>
      </c>
      <c r="E473" s="2" t="s">
        <v>537</v>
      </c>
      <c r="F473" s="2">
        <v>3.0</v>
      </c>
      <c r="G473" s="2">
        <v>84.0</v>
      </c>
      <c r="H473" s="2">
        <v>396667.0</v>
      </c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3.5" customHeight="1">
      <c r="A474" s="17">
        <v>42930.083333333336</v>
      </c>
      <c r="B474" s="2" t="s">
        <v>45</v>
      </c>
      <c r="C474" s="2">
        <v>0.0</v>
      </c>
      <c r="D474" s="3" t="s">
        <v>292</v>
      </c>
      <c r="E474" s="2" t="s">
        <v>58</v>
      </c>
      <c r="F474" s="2" t="s">
        <v>45</v>
      </c>
      <c r="G474" s="2">
        <v>83.0</v>
      </c>
      <c r="H474" s="2">
        <v>0.0</v>
      </c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3.5" customHeight="1">
      <c r="A475" s="17">
        <v>42931.083333333336</v>
      </c>
      <c r="B475" s="2" t="s">
        <v>50</v>
      </c>
      <c r="C475" s="2">
        <v>0.0</v>
      </c>
      <c r="D475" s="3" t="s">
        <v>291</v>
      </c>
      <c r="E475" s="2">
        <v>0.0</v>
      </c>
      <c r="F475" s="2" t="s">
        <v>12</v>
      </c>
      <c r="G475" s="2">
        <v>88.0</v>
      </c>
      <c r="H475" s="2">
        <v>0.0</v>
      </c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3.5" customHeight="1">
      <c r="A476" s="17">
        <v>42932.083333333336</v>
      </c>
      <c r="B476" s="2" t="s">
        <v>37</v>
      </c>
      <c r="C476" s="2">
        <v>0.0</v>
      </c>
      <c r="D476" s="3" t="s">
        <v>290</v>
      </c>
      <c r="E476" s="2">
        <v>0.0</v>
      </c>
      <c r="F476" s="2" t="s">
        <v>37</v>
      </c>
      <c r="G476" s="2">
        <v>88.0</v>
      </c>
      <c r="H476" s="2">
        <v>0.0</v>
      </c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3.5" customHeight="1">
      <c r="A477" s="17">
        <v>42933.083333333336</v>
      </c>
      <c r="B477" s="2" t="s">
        <v>43</v>
      </c>
      <c r="C477" s="2">
        <v>0.0</v>
      </c>
      <c r="D477" s="3" t="s">
        <v>471</v>
      </c>
      <c r="E477" s="2">
        <v>0.0</v>
      </c>
      <c r="F477" s="2" t="s">
        <v>25</v>
      </c>
      <c r="G477" s="2">
        <v>90.0</v>
      </c>
      <c r="H477" s="2">
        <v>0.0</v>
      </c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3.5" customHeight="1">
      <c r="A478" s="17">
        <v>42934.083333333336</v>
      </c>
      <c r="B478" s="2" t="s">
        <v>50</v>
      </c>
      <c r="C478" s="2">
        <v>0.0</v>
      </c>
      <c r="D478" s="3" t="s">
        <v>538</v>
      </c>
      <c r="E478" s="2">
        <v>0.0</v>
      </c>
      <c r="F478" s="2" t="s">
        <v>24</v>
      </c>
      <c r="G478" s="2">
        <v>90.0</v>
      </c>
      <c r="H478" s="2">
        <v>0.0</v>
      </c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3.5" customHeight="1">
      <c r="A479" s="17">
        <v>42935.083333333336</v>
      </c>
      <c r="B479" s="2" t="s">
        <v>43</v>
      </c>
      <c r="C479" s="2">
        <v>0.0</v>
      </c>
      <c r="D479" s="3">
        <v>1026.0</v>
      </c>
      <c r="E479" s="2">
        <v>0.0</v>
      </c>
      <c r="F479" s="2" t="s">
        <v>12</v>
      </c>
      <c r="G479" s="2">
        <v>87.0</v>
      </c>
      <c r="H479" s="2">
        <v>0.0</v>
      </c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3.5" customHeight="1">
      <c r="A480" s="17">
        <v>42936.083333333336</v>
      </c>
      <c r="B480" s="2" t="s">
        <v>137</v>
      </c>
      <c r="C480" s="2">
        <v>0.0</v>
      </c>
      <c r="D480" s="3" t="s">
        <v>539</v>
      </c>
      <c r="E480" s="2">
        <v>0.0</v>
      </c>
      <c r="F480" s="2" t="s">
        <v>87</v>
      </c>
      <c r="G480" s="2">
        <v>89.0</v>
      </c>
      <c r="H480" s="2">
        <v>0.0</v>
      </c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3.5" customHeight="1">
      <c r="A481" s="17">
        <v>42937.083333333336</v>
      </c>
      <c r="B481" s="2" t="s">
        <v>138</v>
      </c>
      <c r="C481" s="2">
        <v>0.0</v>
      </c>
      <c r="D481" s="3" t="s">
        <v>284</v>
      </c>
      <c r="E481" s="2">
        <v>0.0</v>
      </c>
      <c r="F481" s="2" t="s">
        <v>101</v>
      </c>
      <c r="G481" s="2">
        <v>88.0</v>
      </c>
      <c r="H481" s="2">
        <v>0.0</v>
      </c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3.5" customHeight="1">
      <c r="A482" s="17">
        <v>42938.083333333336</v>
      </c>
      <c r="B482" s="2" t="s">
        <v>17</v>
      </c>
      <c r="C482" s="2">
        <v>0.0</v>
      </c>
      <c r="D482" s="3">
        <v>1027.0</v>
      </c>
      <c r="E482" s="2">
        <v>0.0</v>
      </c>
      <c r="F482" s="2" t="s">
        <v>12</v>
      </c>
      <c r="G482" s="2">
        <v>90.0</v>
      </c>
      <c r="H482" s="2">
        <v>0.0</v>
      </c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3.5" customHeight="1">
      <c r="A483" s="17">
        <v>42939.083333333336</v>
      </c>
      <c r="B483" s="2" t="s">
        <v>8</v>
      </c>
      <c r="C483" s="2">
        <v>0.0</v>
      </c>
      <c r="D483" s="3" t="s">
        <v>282</v>
      </c>
      <c r="E483" s="2">
        <v>0.0</v>
      </c>
      <c r="F483" s="2" t="s">
        <v>138</v>
      </c>
      <c r="G483" s="2">
        <v>89.0</v>
      </c>
      <c r="H483" s="2">
        <v>0.0</v>
      </c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3.5" customHeight="1">
      <c r="A484" s="17">
        <v>42940.083333333336</v>
      </c>
      <c r="B484" s="2">
        <v>1.0</v>
      </c>
      <c r="C484" s="2">
        <v>0.0</v>
      </c>
      <c r="D484" s="3" t="s">
        <v>184</v>
      </c>
      <c r="E484" s="2">
        <v>0.0</v>
      </c>
      <c r="F484" s="2">
        <v>2.0</v>
      </c>
      <c r="G484" s="2">
        <v>89.0</v>
      </c>
      <c r="H484" s="2">
        <v>0.0</v>
      </c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3.5" customHeight="1">
      <c r="A485" s="17">
        <v>42941.083333333336</v>
      </c>
      <c r="B485" s="2" t="s">
        <v>87</v>
      </c>
      <c r="C485" s="2">
        <v>0.0</v>
      </c>
      <c r="D485" s="3">
        <v>1027.0</v>
      </c>
      <c r="E485" s="2">
        <v>0.0</v>
      </c>
      <c r="F485" s="2" t="s">
        <v>43</v>
      </c>
      <c r="G485" s="2">
        <v>90.0</v>
      </c>
      <c r="H485" s="2">
        <v>0.0</v>
      </c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3.5" customHeight="1">
      <c r="A486" s="17">
        <v>42942.083333333336</v>
      </c>
      <c r="B486" s="2" t="s">
        <v>264</v>
      </c>
      <c r="C486" s="2">
        <v>0.0</v>
      </c>
      <c r="D486" s="3">
        <v>1027.0</v>
      </c>
      <c r="E486" s="2">
        <v>0.0</v>
      </c>
      <c r="F486" s="2" t="s">
        <v>25</v>
      </c>
      <c r="G486" s="2">
        <v>91.0</v>
      </c>
      <c r="H486" s="2">
        <v>0.0</v>
      </c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3.5" customHeight="1">
      <c r="A487" s="17">
        <v>42943.083333333336</v>
      </c>
      <c r="B487" s="2" t="s">
        <v>40</v>
      </c>
      <c r="C487" s="2">
        <v>0.0</v>
      </c>
      <c r="D487" s="3">
        <v>1027.0</v>
      </c>
      <c r="E487" s="2">
        <v>0.0</v>
      </c>
      <c r="F487" s="2" t="s">
        <v>264</v>
      </c>
      <c r="G487" s="2">
        <v>92.0</v>
      </c>
      <c r="H487" s="2">
        <v>0.0</v>
      </c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3.5" customHeight="1">
      <c r="A488" s="17">
        <v>42944.083333333336</v>
      </c>
      <c r="B488" s="2" t="s">
        <v>25</v>
      </c>
      <c r="C488" s="2">
        <v>0.0</v>
      </c>
      <c r="D488" s="3" t="s">
        <v>540</v>
      </c>
      <c r="E488" s="2">
        <v>0.0</v>
      </c>
      <c r="F488" s="2" t="s">
        <v>112</v>
      </c>
      <c r="G488" s="2">
        <v>94.0</v>
      </c>
      <c r="H488" s="2">
        <v>0.0</v>
      </c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3.5" customHeight="1">
      <c r="A489" s="17">
        <v>42945.083333333336</v>
      </c>
      <c r="B489" s="2" t="s">
        <v>29</v>
      </c>
      <c r="C489" s="2">
        <v>0.0</v>
      </c>
      <c r="D489" s="3" t="s">
        <v>540</v>
      </c>
      <c r="E489" s="2">
        <v>0.0</v>
      </c>
      <c r="F489" s="2" t="s">
        <v>541</v>
      </c>
      <c r="G489" s="2">
        <v>93.0</v>
      </c>
      <c r="H489" s="2">
        <v>0.0</v>
      </c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3.5" customHeight="1">
      <c r="A490" s="17">
        <v>42946.083333333336</v>
      </c>
      <c r="B490" s="2">
        <v>1.0</v>
      </c>
      <c r="C490" s="2">
        <v>0.0</v>
      </c>
      <c r="D490" s="3" t="s">
        <v>510</v>
      </c>
      <c r="E490" s="2">
        <v>0.0</v>
      </c>
      <c r="F490" s="2" t="s">
        <v>541</v>
      </c>
      <c r="G490" s="2">
        <v>95.0</v>
      </c>
      <c r="H490" s="2">
        <v>0.0</v>
      </c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3.5" customHeight="1">
      <c r="A491" s="17">
        <v>42947.083333333336</v>
      </c>
      <c r="B491" s="2" t="s">
        <v>101</v>
      </c>
      <c r="C491" s="2">
        <v>0.0</v>
      </c>
      <c r="D491" s="3" t="s">
        <v>542</v>
      </c>
      <c r="E491" s="2">
        <v>0.0</v>
      </c>
      <c r="F491" s="2" t="s">
        <v>543</v>
      </c>
      <c r="G491" s="2">
        <v>95.0</v>
      </c>
      <c r="H491" s="2">
        <v>0.0</v>
      </c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3.5" customHeight="1">
      <c r="A492" s="17">
        <v>42948.083333333336</v>
      </c>
      <c r="B492" s="2" t="s">
        <v>24</v>
      </c>
      <c r="C492" s="2">
        <v>26.0</v>
      </c>
      <c r="D492" s="3" t="s">
        <v>504</v>
      </c>
      <c r="E492" s="2" t="s">
        <v>544</v>
      </c>
      <c r="F492" s="2">
        <v>0.0</v>
      </c>
      <c r="G492" s="2">
        <v>96.0</v>
      </c>
      <c r="H492" s="2">
        <v>0.0</v>
      </c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3.5" customHeight="1">
      <c r="A493" s="17">
        <v>42949.083333333336</v>
      </c>
      <c r="B493" s="2" t="s">
        <v>50</v>
      </c>
      <c r="C493" s="2">
        <v>0.0</v>
      </c>
      <c r="D493" s="3" t="s">
        <v>247</v>
      </c>
      <c r="E493" s="2" t="s">
        <v>545</v>
      </c>
      <c r="F493" s="2" t="s">
        <v>40</v>
      </c>
      <c r="G493" s="2">
        <v>92.0</v>
      </c>
      <c r="H493" s="2">
        <v>184.0</v>
      </c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3.5" customHeight="1">
      <c r="A494" s="17">
        <v>42950.083333333336</v>
      </c>
      <c r="B494" s="2" t="s">
        <v>112</v>
      </c>
      <c r="C494" s="2">
        <v>40.0</v>
      </c>
      <c r="D494" s="3" t="s">
        <v>247</v>
      </c>
      <c r="E494" s="2" t="s">
        <v>546</v>
      </c>
      <c r="F494" s="2" t="s">
        <v>248</v>
      </c>
      <c r="G494" s="2">
        <v>84.0</v>
      </c>
      <c r="H494" s="2">
        <v>1.3326666E7</v>
      </c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3.5" customHeight="1">
      <c r="A495" s="17">
        <v>42951.083333333336</v>
      </c>
      <c r="B495" s="2" t="s">
        <v>28</v>
      </c>
      <c r="C495" s="2">
        <v>60.0</v>
      </c>
      <c r="D495" s="3" t="s">
        <v>186</v>
      </c>
      <c r="E495" s="2" t="s">
        <v>547</v>
      </c>
      <c r="F495" s="2" t="s">
        <v>49</v>
      </c>
      <c r="G495" s="2">
        <v>78.0</v>
      </c>
      <c r="H495" s="2">
        <v>1.2028333E7</v>
      </c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3.5" customHeight="1">
      <c r="A496" s="17">
        <v>42952.083333333336</v>
      </c>
      <c r="B496" s="2" t="s">
        <v>106</v>
      </c>
      <c r="C496" s="2">
        <v>60.0</v>
      </c>
      <c r="D496" s="3" t="s">
        <v>186</v>
      </c>
      <c r="E496" s="2" t="s">
        <v>548</v>
      </c>
      <c r="F496" s="2" t="s">
        <v>61</v>
      </c>
      <c r="G496" s="2">
        <v>80.0</v>
      </c>
      <c r="H496" s="2">
        <v>394.0</v>
      </c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3.5" customHeight="1">
      <c r="A497" s="17">
        <v>42953.083333333336</v>
      </c>
      <c r="B497" s="2" t="s">
        <v>86</v>
      </c>
      <c r="C497" s="2">
        <v>60.0</v>
      </c>
      <c r="D497" s="3">
        <v>1028.0</v>
      </c>
      <c r="E497" s="2" t="s">
        <v>549</v>
      </c>
      <c r="F497" s="2">
        <v>3.0</v>
      </c>
      <c r="G497" s="2">
        <v>82.0</v>
      </c>
      <c r="H497" s="2">
        <v>3383332.0</v>
      </c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3.5" customHeight="1">
      <c r="A498" s="17">
        <v>42954.083333333336</v>
      </c>
      <c r="B498" s="2" t="s">
        <v>12</v>
      </c>
      <c r="C498" s="2">
        <v>23.0</v>
      </c>
      <c r="D498" s="3">
        <v>1028.0</v>
      </c>
      <c r="E498" s="2" t="s">
        <v>550</v>
      </c>
      <c r="F498" s="2" t="s">
        <v>45</v>
      </c>
      <c r="G498" s="2">
        <v>85.0</v>
      </c>
      <c r="H498" s="2">
        <v>428333.0</v>
      </c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3.5" customHeight="1">
      <c r="A499" s="17">
        <v>42955.083333333336</v>
      </c>
      <c r="B499" s="2" t="s">
        <v>66</v>
      </c>
      <c r="C499" s="2">
        <v>0.0</v>
      </c>
      <c r="D499" s="3" t="s">
        <v>551</v>
      </c>
      <c r="E499" s="2">
        <v>0.0</v>
      </c>
      <c r="F499" s="2" t="s">
        <v>264</v>
      </c>
      <c r="G499" s="2">
        <v>92.0</v>
      </c>
      <c r="H499" s="2">
        <v>0.0</v>
      </c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3.5" customHeight="1">
      <c r="A500" s="17">
        <v>42956.083333333336</v>
      </c>
      <c r="B500" s="2" t="s">
        <v>264</v>
      </c>
      <c r="C500" s="2">
        <v>0.0</v>
      </c>
      <c r="D500" s="3" t="s">
        <v>551</v>
      </c>
      <c r="E500" s="2">
        <v>0.0</v>
      </c>
      <c r="F500" s="2" t="s">
        <v>112</v>
      </c>
      <c r="G500" s="2">
        <v>94.0</v>
      </c>
      <c r="H500" s="2">
        <v>0.0</v>
      </c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3.5" customHeight="1">
      <c r="A501" s="17">
        <v>42957.083333333336</v>
      </c>
      <c r="B501" s="2" t="s">
        <v>43</v>
      </c>
      <c r="C501" s="2">
        <v>0.0</v>
      </c>
      <c r="D501" s="3" t="s">
        <v>186</v>
      </c>
      <c r="E501" s="2">
        <v>0.0</v>
      </c>
      <c r="F501" s="2" t="s">
        <v>543</v>
      </c>
      <c r="G501" s="2">
        <v>93.0</v>
      </c>
      <c r="H501" s="2">
        <v>0.0</v>
      </c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3.5" customHeight="1">
      <c r="A502" s="17">
        <v>42958.083333333336</v>
      </c>
      <c r="B502" s="2" t="s">
        <v>112</v>
      </c>
      <c r="C502" s="2">
        <v>0.0</v>
      </c>
      <c r="D502" s="3" t="s">
        <v>552</v>
      </c>
      <c r="E502" s="2">
        <v>0.0</v>
      </c>
      <c r="F502" s="2" t="s">
        <v>16</v>
      </c>
      <c r="G502" s="2">
        <v>95.0</v>
      </c>
      <c r="H502" s="2">
        <v>0.0</v>
      </c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3.5" customHeight="1">
      <c r="A503" s="17">
        <v>42959.083333333336</v>
      </c>
      <c r="B503" s="2" t="s">
        <v>86</v>
      </c>
      <c r="C503" s="2">
        <v>0.0</v>
      </c>
      <c r="D503" s="3" t="s">
        <v>186</v>
      </c>
      <c r="E503" s="2">
        <v>0.0</v>
      </c>
      <c r="F503" s="2" t="s">
        <v>134</v>
      </c>
      <c r="G503" s="2">
        <v>96.0</v>
      </c>
      <c r="H503" s="2">
        <v>0.0</v>
      </c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3.5" customHeight="1">
      <c r="A504" s="17">
        <v>42960.083333333336</v>
      </c>
      <c r="B504" s="2" t="s">
        <v>106</v>
      </c>
      <c r="C504" s="2">
        <v>0.0</v>
      </c>
      <c r="D504" s="3" t="s">
        <v>542</v>
      </c>
      <c r="E504" s="2">
        <v>0.0</v>
      </c>
      <c r="F504" s="2" t="s">
        <v>124</v>
      </c>
      <c r="G504" s="2">
        <v>97.0</v>
      </c>
      <c r="H504" s="2">
        <v>0.0</v>
      </c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3.5" customHeight="1">
      <c r="A505" s="17">
        <v>42961.083333333336</v>
      </c>
      <c r="B505" s="2">
        <v>1.0</v>
      </c>
      <c r="C505" s="2">
        <v>0.0</v>
      </c>
      <c r="D505" s="3" t="s">
        <v>510</v>
      </c>
      <c r="E505" s="2">
        <v>0.0</v>
      </c>
      <c r="F505" s="2" t="s">
        <v>19</v>
      </c>
      <c r="G505" s="2">
        <v>94.0</v>
      </c>
      <c r="H505" s="2">
        <v>0.0</v>
      </c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3.5" customHeight="1">
      <c r="A506" s="17">
        <v>42962.083333333336</v>
      </c>
      <c r="B506" s="2" t="s">
        <v>25</v>
      </c>
      <c r="C506" s="2">
        <v>0.0</v>
      </c>
      <c r="D506" s="3" t="s">
        <v>507</v>
      </c>
      <c r="E506" s="2">
        <v>0.0</v>
      </c>
      <c r="F506" s="2" t="s">
        <v>136</v>
      </c>
      <c r="G506" s="2">
        <v>98.0</v>
      </c>
      <c r="H506" s="2">
        <v>0.0</v>
      </c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3.5" customHeight="1">
      <c r="A507" s="17">
        <v>42963.083333333336</v>
      </c>
      <c r="B507" s="2">
        <v>1.0</v>
      </c>
      <c r="C507" s="2">
        <v>0.0</v>
      </c>
      <c r="D507" s="3" t="s">
        <v>553</v>
      </c>
      <c r="E507" s="2">
        <v>0.0</v>
      </c>
      <c r="F507" s="2" t="s">
        <v>90</v>
      </c>
      <c r="G507" s="2">
        <v>99.0</v>
      </c>
      <c r="H507" s="2">
        <v>0.0</v>
      </c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3.5" customHeight="1">
      <c r="A508" s="17">
        <v>42964.083333333336</v>
      </c>
      <c r="B508" s="2">
        <v>1.0</v>
      </c>
      <c r="C508" s="2">
        <v>0.0</v>
      </c>
      <c r="D508" s="3" t="s">
        <v>540</v>
      </c>
      <c r="E508" s="2">
        <v>0.0</v>
      </c>
      <c r="F508" s="2">
        <v>-1.0</v>
      </c>
      <c r="G508" s="2">
        <v>99.0</v>
      </c>
      <c r="H508" s="2">
        <v>0.0</v>
      </c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3.5" customHeight="1">
      <c r="A509" s="17">
        <v>42965.083333333336</v>
      </c>
      <c r="B509" s="2" t="s">
        <v>8</v>
      </c>
      <c r="C509" s="2">
        <v>0.0</v>
      </c>
      <c r="D509" s="3" t="s">
        <v>514</v>
      </c>
      <c r="E509" s="2">
        <v>0.0</v>
      </c>
      <c r="F509" s="2" t="s">
        <v>143</v>
      </c>
      <c r="G509" s="2">
        <v>99.0</v>
      </c>
      <c r="H509" s="2">
        <v>0.0</v>
      </c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3.5" customHeight="1">
      <c r="A510" s="17">
        <v>42966.083333333336</v>
      </c>
      <c r="B510" s="2" t="s">
        <v>264</v>
      </c>
      <c r="C510" s="2">
        <v>0.0</v>
      </c>
      <c r="D510" s="3" t="s">
        <v>280</v>
      </c>
      <c r="E510" s="2">
        <v>0.0</v>
      </c>
      <c r="F510" s="2" t="s">
        <v>543</v>
      </c>
      <c r="G510" s="2">
        <v>99.0</v>
      </c>
      <c r="H510" s="2">
        <v>0.0</v>
      </c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3.5" customHeight="1">
      <c r="A511" s="17">
        <v>42967.083333333336</v>
      </c>
      <c r="B511" s="2" t="s">
        <v>138</v>
      </c>
      <c r="C511" s="2">
        <v>0.0</v>
      </c>
      <c r="D511" s="3" t="s">
        <v>278</v>
      </c>
      <c r="E511" s="2">
        <v>0.0</v>
      </c>
      <c r="F511" s="2" t="s">
        <v>316</v>
      </c>
      <c r="G511" s="2">
        <v>99.0</v>
      </c>
      <c r="H511" s="2">
        <v>0.0</v>
      </c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3.5" customHeight="1">
      <c r="A512" s="17">
        <v>42968.083333333336</v>
      </c>
      <c r="B512" s="2" t="s">
        <v>37</v>
      </c>
      <c r="C512" s="2">
        <v>0.0</v>
      </c>
      <c r="D512" s="3" t="s">
        <v>521</v>
      </c>
      <c r="E512" s="2">
        <v>0.0</v>
      </c>
      <c r="F512" s="2">
        <v>0.0</v>
      </c>
      <c r="G512" s="2">
        <v>99.0</v>
      </c>
      <c r="H512" s="2">
        <v>0.0</v>
      </c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3.5" customHeight="1">
      <c r="A513" s="17">
        <v>42969.083333333336</v>
      </c>
      <c r="B513" s="2" t="s">
        <v>101</v>
      </c>
      <c r="C513" s="2">
        <v>0.0</v>
      </c>
      <c r="D513" s="3" t="s">
        <v>289</v>
      </c>
      <c r="E513" s="2">
        <v>0.0</v>
      </c>
      <c r="F513" s="2">
        <v>0.0</v>
      </c>
      <c r="G513" s="2">
        <v>100.0</v>
      </c>
      <c r="H513" s="2">
        <v>0.0</v>
      </c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3.5" customHeight="1">
      <c r="A514" s="17">
        <v>42970.083333333336</v>
      </c>
      <c r="B514" s="2" t="s">
        <v>24</v>
      </c>
      <c r="C514" s="2">
        <v>0.0</v>
      </c>
      <c r="D514" s="3" t="s">
        <v>276</v>
      </c>
      <c r="E514" s="2">
        <v>0.0</v>
      </c>
      <c r="F514" s="2">
        <v>0.0</v>
      </c>
      <c r="G514" s="2">
        <v>100.0</v>
      </c>
      <c r="H514" s="2">
        <v>0.0</v>
      </c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3.5" customHeight="1">
      <c r="A515" s="17">
        <v>42971.083333333336</v>
      </c>
      <c r="B515" s="2" t="s">
        <v>106</v>
      </c>
      <c r="C515" s="2">
        <v>0.0</v>
      </c>
      <c r="D515" s="3" t="s">
        <v>290</v>
      </c>
      <c r="E515" s="2">
        <v>0.0</v>
      </c>
      <c r="F515" s="2" t="s">
        <v>316</v>
      </c>
      <c r="G515" s="2">
        <v>100.0</v>
      </c>
      <c r="H515" s="2">
        <v>0.0</v>
      </c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3.5" customHeight="1">
      <c r="A516" s="17">
        <v>42972.083333333336</v>
      </c>
      <c r="B516" s="2" t="s">
        <v>12</v>
      </c>
      <c r="C516" s="2">
        <v>0.0</v>
      </c>
      <c r="D516" s="3" t="s">
        <v>290</v>
      </c>
      <c r="E516" s="2" t="s">
        <v>45</v>
      </c>
      <c r="F516" s="2">
        <v>0.0</v>
      </c>
      <c r="G516" s="2">
        <v>99.0</v>
      </c>
      <c r="H516" s="2">
        <v>0.0</v>
      </c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3.5" customHeight="1">
      <c r="A517" s="17">
        <v>42973.083333333336</v>
      </c>
      <c r="B517" s="2" t="s">
        <v>138</v>
      </c>
      <c r="C517" s="2">
        <v>0.0</v>
      </c>
      <c r="D517" s="3" t="s">
        <v>179</v>
      </c>
      <c r="E517" s="2" t="s">
        <v>554</v>
      </c>
      <c r="F517" s="2" t="s">
        <v>112</v>
      </c>
      <c r="G517" s="2">
        <v>100.0</v>
      </c>
      <c r="H517" s="2">
        <v>0.0</v>
      </c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3.5" customHeight="1">
      <c r="A518" s="17">
        <v>42974.083333333336</v>
      </c>
      <c r="B518" s="2" t="s">
        <v>50</v>
      </c>
      <c r="C518" s="2">
        <v>0.0</v>
      </c>
      <c r="D518" s="3" t="s">
        <v>294</v>
      </c>
      <c r="E518" s="2" t="s">
        <v>555</v>
      </c>
      <c r="F518" s="2" t="s">
        <v>106</v>
      </c>
      <c r="G518" s="2">
        <v>99.0</v>
      </c>
      <c r="H518" s="2">
        <v>0.0</v>
      </c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3.5" customHeight="1">
      <c r="A519" s="17">
        <v>42975.083333333336</v>
      </c>
      <c r="B519" s="2" t="s">
        <v>106</v>
      </c>
      <c r="C519" s="2">
        <v>0.0</v>
      </c>
      <c r="D519" s="3" t="s">
        <v>252</v>
      </c>
      <c r="E519" s="2" t="s">
        <v>556</v>
      </c>
      <c r="F519" s="2">
        <v>1.0</v>
      </c>
      <c r="G519" s="2">
        <v>99.0</v>
      </c>
      <c r="H519" s="2">
        <v>0.0</v>
      </c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3.5" customHeight="1">
      <c r="A520" s="17">
        <v>42976.083333333336</v>
      </c>
      <c r="B520" s="2" t="s">
        <v>43</v>
      </c>
      <c r="C520" s="2">
        <v>0.0</v>
      </c>
      <c r="D520" s="3">
        <v>1022.0</v>
      </c>
      <c r="E520" s="2" t="s">
        <v>557</v>
      </c>
      <c r="F520" s="2" t="s">
        <v>106</v>
      </c>
      <c r="G520" s="2">
        <v>99.0</v>
      </c>
      <c r="H520" s="2">
        <v>671666.0</v>
      </c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3.5" customHeight="1">
      <c r="A521" s="17">
        <v>42977.083333333336</v>
      </c>
      <c r="B521" s="2" t="s">
        <v>138</v>
      </c>
      <c r="C521" s="2">
        <v>0.0</v>
      </c>
      <c r="D521" s="3" t="s">
        <v>465</v>
      </c>
      <c r="E521" s="2" t="s">
        <v>558</v>
      </c>
      <c r="F521" s="2" t="s">
        <v>71</v>
      </c>
      <c r="G521" s="2">
        <v>99.0</v>
      </c>
      <c r="H521" s="2">
        <v>37.0</v>
      </c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3.5" customHeight="1">
      <c r="A522" s="17">
        <v>42978.083333333336</v>
      </c>
      <c r="B522" s="2" t="s">
        <v>25</v>
      </c>
      <c r="C522" s="2">
        <v>0.0</v>
      </c>
      <c r="D522" s="3" t="s">
        <v>253</v>
      </c>
      <c r="E522" s="2" t="s">
        <v>17</v>
      </c>
      <c r="F522" s="2" t="s">
        <v>71</v>
      </c>
      <c r="G522" s="2">
        <v>99.0</v>
      </c>
      <c r="H522" s="2">
        <v>0.0</v>
      </c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3.5" customHeight="1">
      <c r="A523" s="17">
        <v>42979.083333333336</v>
      </c>
      <c r="B523" s="2" t="s">
        <v>87</v>
      </c>
      <c r="C523" s="2">
        <v>0.0</v>
      </c>
      <c r="D523" s="3" t="s">
        <v>559</v>
      </c>
      <c r="E523" s="2">
        <v>0.0</v>
      </c>
      <c r="F523" s="2" t="s">
        <v>71</v>
      </c>
      <c r="G523" s="2">
        <v>99.0</v>
      </c>
      <c r="H523" s="2">
        <v>0.0</v>
      </c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3.5" customHeight="1">
      <c r="A524" s="17">
        <v>42980.083333333336</v>
      </c>
      <c r="B524" s="2" t="s">
        <v>17</v>
      </c>
      <c r="C524" s="2">
        <v>0.0</v>
      </c>
      <c r="D524" s="3" t="s">
        <v>560</v>
      </c>
      <c r="E524" s="2">
        <v>0.0</v>
      </c>
      <c r="F524" s="2" t="s">
        <v>66</v>
      </c>
      <c r="G524" s="2">
        <v>99.0</v>
      </c>
      <c r="H524" s="2">
        <v>0.0</v>
      </c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3.5" customHeight="1">
      <c r="A525" s="17">
        <v>42981.083333333336</v>
      </c>
      <c r="B525" s="2" t="s">
        <v>43</v>
      </c>
      <c r="C525" s="2">
        <v>0.0</v>
      </c>
      <c r="D525" s="3" t="s">
        <v>561</v>
      </c>
      <c r="E525" s="2">
        <v>0.0</v>
      </c>
      <c r="F525" s="2" t="s">
        <v>86</v>
      </c>
      <c r="G525" s="2">
        <v>99.0</v>
      </c>
      <c r="H525" s="2">
        <v>0.0</v>
      </c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3.5" customHeight="1">
      <c r="A526" s="17">
        <v>42982.083333333336</v>
      </c>
      <c r="B526" s="2" t="s">
        <v>101</v>
      </c>
      <c r="C526" s="2">
        <v>0.0</v>
      </c>
      <c r="D526" s="3" t="s">
        <v>562</v>
      </c>
      <c r="E526" s="2">
        <v>0.0</v>
      </c>
      <c r="F526" s="2">
        <v>0.0</v>
      </c>
      <c r="G526" s="2">
        <v>99.0</v>
      </c>
      <c r="H526" s="2">
        <v>0.0</v>
      </c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3.5" customHeight="1">
      <c r="A527" s="17">
        <v>42983.083333333336</v>
      </c>
      <c r="B527" s="2" t="s">
        <v>87</v>
      </c>
      <c r="C527" s="2">
        <v>0.0</v>
      </c>
      <c r="D527" s="3" t="s">
        <v>256</v>
      </c>
      <c r="E527" s="2">
        <v>0.0</v>
      </c>
      <c r="F527" s="2" t="s">
        <v>14</v>
      </c>
      <c r="G527" s="2">
        <v>99.0</v>
      </c>
      <c r="H527" s="2">
        <v>0.0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3.5" customHeight="1">
      <c r="A528" s="17">
        <v>42984.083333333336</v>
      </c>
      <c r="B528" s="2" t="s">
        <v>40</v>
      </c>
      <c r="C528" s="2">
        <v>0.0</v>
      </c>
      <c r="D528" s="3" t="s">
        <v>563</v>
      </c>
      <c r="E528" s="2">
        <v>0.0</v>
      </c>
      <c r="F528" s="2" t="s">
        <v>250</v>
      </c>
      <c r="G528" s="2">
        <v>99.0</v>
      </c>
      <c r="H528" s="2">
        <v>0.0</v>
      </c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3.5" customHeight="1">
      <c r="A529" s="17">
        <v>42985.083333333336</v>
      </c>
      <c r="B529" s="2" t="s">
        <v>25</v>
      </c>
      <c r="C529" s="2">
        <v>0.0</v>
      </c>
      <c r="D529" s="3" t="s">
        <v>563</v>
      </c>
      <c r="E529" s="2">
        <v>0.0</v>
      </c>
      <c r="F529" s="2" t="s">
        <v>152</v>
      </c>
      <c r="G529" s="2">
        <v>99.0</v>
      </c>
      <c r="H529" s="2">
        <v>0.0</v>
      </c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3.5" customHeight="1">
      <c r="A530" s="17">
        <v>42986.083333333336</v>
      </c>
      <c r="B530" s="2" t="s">
        <v>25</v>
      </c>
      <c r="C530" s="2">
        <v>0.0</v>
      </c>
      <c r="D530" s="3">
        <v>1019.0</v>
      </c>
      <c r="E530" s="2">
        <v>0.0</v>
      </c>
      <c r="F530" s="2" t="s">
        <v>127</v>
      </c>
      <c r="G530" s="2">
        <v>99.0</v>
      </c>
      <c r="H530" s="2">
        <v>0.0</v>
      </c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3.5" customHeight="1">
      <c r="A531" s="17">
        <v>42987.083333333336</v>
      </c>
      <c r="B531" s="2" t="s">
        <v>8</v>
      </c>
      <c r="C531" s="2">
        <v>0.0</v>
      </c>
      <c r="D531" s="3" t="s">
        <v>564</v>
      </c>
      <c r="E531" s="2">
        <v>0.0</v>
      </c>
      <c r="F531" s="2">
        <v>-1.0</v>
      </c>
      <c r="G531" s="2">
        <v>99.0</v>
      </c>
      <c r="H531" s="2">
        <v>0.0</v>
      </c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3.5" customHeight="1">
      <c r="A532" s="17">
        <v>42988.083333333336</v>
      </c>
      <c r="B532" s="2" t="s">
        <v>101</v>
      </c>
      <c r="C532" s="2">
        <v>0.0</v>
      </c>
      <c r="D532" s="3" t="s">
        <v>174</v>
      </c>
      <c r="E532" s="2">
        <v>0.0</v>
      </c>
      <c r="F532" s="2" t="s">
        <v>124</v>
      </c>
      <c r="G532" s="2">
        <v>99.0</v>
      </c>
      <c r="H532" s="2">
        <v>0.0</v>
      </c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3.5" customHeight="1">
      <c r="A533" s="17">
        <v>42989.083333333336</v>
      </c>
      <c r="B533" s="2">
        <v>1.0</v>
      </c>
      <c r="C533" s="2">
        <v>0.0</v>
      </c>
      <c r="D533" s="3" t="s">
        <v>565</v>
      </c>
      <c r="E533" s="2">
        <v>0.0</v>
      </c>
      <c r="F533" s="2">
        <v>-2.0</v>
      </c>
      <c r="G533" s="2">
        <v>99.0</v>
      </c>
      <c r="H533" s="2">
        <v>0.0</v>
      </c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3.5" customHeight="1">
      <c r="A534" s="17">
        <v>42990.083333333336</v>
      </c>
      <c r="B534" s="2" t="s">
        <v>12</v>
      </c>
      <c r="C534" s="2">
        <v>0.0</v>
      </c>
      <c r="D534" s="3" t="s">
        <v>266</v>
      </c>
      <c r="E534" s="2">
        <v>0.0</v>
      </c>
      <c r="F534" s="2" t="s">
        <v>119</v>
      </c>
      <c r="G534" s="2">
        <v>99.0</v>
      </c>
      <c r="H534" s="2">
        <v>0.0</v>
      </c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3.5" customHeight="1">
      <c r="A535" s="17">
        <v>42991.083333333336</v>
      </c>
      <c r="B535" s="2" t="s">
        <v>25</v>
      </c>
      <c r="C535" s="2">
        <v>0.0</v>
      </c>
      <c r="D535" s="3" t="s">
        <v>266</v>
      </c>
      <c r="E535" s="2">
        <v>0.0</v>
      </c>
      <c r="F535" s="2" t="s">
        <v>306</v>
      </c>
      <c r="G535" s="2">
        <v>99.0</v>
      </c>
      <c r="H535" s="2">
        <v>0.0</v>
      </c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3.5" customHeight="1">
      <c r="A536" s="17">
        <v>42992.083333333336</v>
      </c>
      <c r="B536" s="2" t="s">
        <v>138</v>
      </c>
      <c r="C536" s="2">
        <v>0.0</v>
      </c>
      <c r="D536" s="3" t="s">
        <v>566</v>
      </c>
      <c r="E536" s="2">
        <v>0.0</v>
      </c>
      <c r="F536" s="2">
        <v>-3.0</v>
      </c>
      <c r="G536" s="2">
        <v>99.0</v>
      </c>
      <c r="H536" s="2">
        <v>0.0</v>
      </c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3.5" customHeight="1">
      <c r="A537" s="17">
        <v>42993.083333333336</v>
      </c>
      <c r="B537" s="2" t="s">
        <v>24</v>
      </c>
      <c r="C537" s="2">
        <v>0.0</v>
      </c>
      <c r="D537" s="3" t="s">
        <v>566</v>
      </c>
      <c r="E537" s="2">
        <v>0.0</v>
      </c>
      <c r="F537" s="2" t="s">
        <v>116</v>
      </c>
      <c r="G537" s="2">
        <v>99.0</v>
      </c>
      <c r="H537" s="2">
        <v>0.0</v>
      </c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3.5" customHeight="1">
      <c r="A538" s="17">
        <v>42994.083333333336</v>
      </c>
      <c r="B538" s="2" t="s">
        <v>89</v>
      </c>
      <c r="C538" s="2">
        <v>0.0</v>
      </c>
      <c r="D538" s="3" t="s">
        <v>260</v>
      </c>
      <c r="E538" s="2">
        <v>0.0</v>
      </c>
      <c r="F538" s="2" t="s">
        <v>116</v>
      </c>
      <c r="G538" s="2">
        <v>99.0</v>
      </c>
      <c r="H538" s="2">
        <v>0.0</v>
      </c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3.5" customHeight="1">
      <c r="A539" s="17">
        <v>42995.083333333336</v>
      </c>
      <c r="B539" s="2" t="s">
        <v>43</v>
      </c>
      <c r="C539" s="2">
        <v>0.0</v>
      </c>
      <c r="D539" s="3" t="s">
        <v>567</v>
      </c>
      <c r="E539" s="2">
        <v>0.0</v>
      </c>
      <c r="F539" s="2" t="s">
        <v>116</v>
      </c>
      <c r="G539" s="2">
        <v>99.0</v>
      </c>
      <c r="H539" s="2">
        <v>0.0</v>
      </c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3.5" customHeight="1">
      <c r="A540" s="17">
        <v>42996.083333333336</v>
      </c>
      <c r="B540" s="2" t="s">
        <v>25</v>
      </c>
      <c r="C540" s="2">
        <v>0.0</v>
      </c>
      <c r="D540" s="3" t="s">
        <v>567</v>
      </c>
      <c r="E540" s="2" t="s">
        <v>568</v>
      </c>
      <c r="F540" s="2" t="s">
        <v>76</v>
      </c>
      <c r="G540" s="2">
        <v>98.0</v>
      </c>
      <c r="H540" s="2">
        <v>36.0</v>
      </c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3.5" customHeight="1">
      <c r="A541" s="17">
        <v>42997.083333333336</v>
      </c>
      <c r="B541" s="2" t="s">
        <v>87</v>
      </c>
      <c r="C541" s="2">
        <v>0.0</v>
      </c>
      <c r="D541" s="3" t="s">
        <v>569</v>
      </c>
      <c r="E541" s="2" t="s">
        <v>570</v>
      </c>
      <c r="F541" s="2" t="s">
        <v>76</v>
      </c>
      <c r="G541" s="2">
        <v>98.0</v>
      </c>
      <c r="H541" s="2">
        <v>3328333.0</v>
      </c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3.5" customHeight="1">
      <c r="A542" s="17">
        <v>42998.083333333336</v>
      </c>
      <c r="B542" s="2">
        <v>1.0</v>
      </c>
      <c r="C542" s="2">
        <v>0.0</v>
      </c>
      <c r="D542" s="3" t="s">
        <v>567</v>
      </c>
      <c r="E542" s="2" t="s">
        <v>571</v>
      </c>
      <c r="F542" s="2">
        <v>-3.0</v>
      </c>
      <c r="G542" s="2">
        <v>98.0</v>
      </c>
      <c r="H542" s="2">
        <v>6881666.0</v>
      </c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3.5" customHeight="1">
      <c r="A543" s="17">
        <v>42999.083333333336</v>
      </c>
      <c r="B543" s="2" t="s">
        <v>264</v>
      </c>
      <c r="C543" s="2">
        <v>0.0</v>
      </c>
      <c r="D543" s="3">
        <v>1017.0</v>
      </c>
      <c r="E543" s="2">
        <v>63.0</v>
      </c>
      <c r="F543" s="2" t="s">
        <v>306</v>
      </c>
      <c r="G543" s="2">
        <v>98.0</v>
      </c>
      <c r="H543" s="2">
        <v>9856667.0</v>
      </c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3.5" customHeight="1">
      <c r="A544" s="17">
        <v>43000.083333333336</v>
      </c>
      <c r="B544" s="2" t="s">
        <v>25</v>
      </c>
      <c r="C544" s="2">
        <v>0.0</v>
      </c>
      <c r="D544" s="3">
        <v>1017.0</v>
      </c>
      <c r="E544" s="2" t="s">
        <v>572</v>
      </c>
      <c r="F544" s="2" t="s">
        <v>306</v>
      </c>
      <c r="G544" s="2">
        <v>98.0</v>
      </c>
      <c r="H544" s="2">
        <v>204.0</v>
      </c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3.5" customHeight="1">
      <c r="A545" s="17">
        <v>43001.083333333336</v>
      </c>
      <c r="B545" s="2" t="s">
        <v>106</v>
      </c>
      <c r="C545" s="2">
        <v>0.0</v>
      </c>
      <c r="D545" s="3" t="s">
        <v>172</v>
      </c>
      <c r="E545" s="2">
        <v>32.0</v>
      </c>
      <c r="F545" s="2">
        <v>-3.0</v>
      </c>
      <c r="G545" s="2">
        <v>98.0</v>
      </c>
      <c r="H545" s="2">
        <v>168.0</v>
      </c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3.5" customHeight="1">
      <c r="A546" s="17">
        <v>43002.083333333336</v>
      </c>
      <c r="B546" s="2" t="s">
        <v>71</v>
      </c>
      <c r="C546" s="2">
        <v>0.0</v>
      </c>
      <c r="D546" s="3" t="s">
        <v>172</v>
      </c>
      <c r="E546" s="2" t="s">
        <v>573</v>
      </c>
      <c r="F546" s="2" t="s">
        <v>279</v>
      </c>
      <c r="G546" s="2">
        <v>98.0</v>
      </c>
      <c r="H546" s="2">
        <v>216667.0</v>
      </c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3.5" customHeight="1">
      <c r="A547" s="17">
        <v>43003.083333333336</v>
      </c>
      <c r="B547" s="2" t="s">
        <v>8</v>
      </c>
      <c r="C547" s="2">
        <v>0.0</v>
      </c>
      <c r="D547" s="3" t="s">
        <v>574</v>
      </c>
      <c r="E547" s="2">
        <v>0.0</v>
      </c>
      <c r="F547" s="2" t="s">
        <v>70</v>
      </c>
      <c r="G547" s="2">
        <v>98.0</v>
      </c>
      <c r="H547" s="2">
        <v>0.0</v>
      </c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3.5" customHeight="1">
      <c r="A548" s="17">
        <v>43004.083333333336</v>
      </c>
      <c r="B548" s="2" t="s">
        <v>29</v>
      </c>
      <c r="C548" s="2">
        <v>0.0</v>
      </c>
      <c r="D548" s="3" t="s">
        <v>569</v>
      </c>
      <c r="E548" s="2">
        <v>0.0</v>
      </c>
      <c r="F548" s="2" t="s">
        <v>70</v>
      </c>
      <c r="G548" s="2">
        <v>98.0</v>
      </c>
      <c r="H548" s="2">
        <v>0.0</v>
      </c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3.5" customHeight="1">
      <c r="A549" s="17">
        <v>43005.083333333336</v>
      </c>
      <c r="B549" s="2" t="s">
        <v>264</v>
      </c>
      <c r="C549" s="2">
        <v>0.0</v>
      </c>
      <c r="D549" s="3" t="s">
        <v>310</v>
      </c>
      <c r="E549" s="2">
        <v>0.0</v>
      </c>
      <c r="F549" s="2" t="s">
        <v>91</v>
      </c>
      <c r="G549" s="2">
        <v>98.0</v>
      </c>
      <c r="H549" s="2">
        <v>0.0</v>
      </c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3.5" customHeight="1">
      <c r="A550" s="17">
        <v>43006.083333333336</v>
      </c>
      <c r="B550" s="2" t="s">
        <v>106</v>
      </c>
      <c r="C550" s="2">
        <v>0.0</v>
      </c>
      <c r="D550" s="3">
        <v>1018.0</v>
      </c>
      <c r="E550" s="2">
        <v>0.0</v>
      </c>
      <c r="F550" s="2">
        <v>-4.0</v>
      </c>
      <c r="G550" s="2">
        <v>97.0</v>
      </c>
      <c r="H550" s="2">
        <v>0.0</v>
      </c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3.5" customHeight="1">
      <c r="A551" s="17">
        <v>43007.083333333336</v>
      </c>
      <c r="B551" s="2" t="s">
        <v>71</v>
      </c>
      <c r="C551" s="2">
        <v>0.0</v>
      </c>
      <c r="D551" s="3" t="s">
        <v>575</v>
      </c>
      <c r="E551" s="2">
        <v>0.0</v>
      </c>
      <c r="F551" s="2" t="s">
        <v>110</v>
      </c>
      <c r="G551" s="2">
        <v>96.0</v>
      </c>
      <c r="H551" s="2">
        <v>0.0</v>
      </c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3.5" customHeight="1">
      <c r="A552" s="17">
        <v>43008.083333333336</v>
      </c>
      <c r="B552" s="2" t="s">
        <v>43</v>
      </c>
      <c r="C552" s="2">
        <v>0.0</v>
      </c>
      <c r="D552" s="3" t="s">
        <v>576</v>
      </c>
      <c r="E552" s="2">
        <v>0.0</v>
      </c>
      <c r="F552" s="2" t="s">
        <v>111</v>
      </c>
      <c r="G552" s="2">
        <v>97.0</v>
      </c>
      <c r="H552" s="2">
        <v>0.0</v>
      </c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3.5" customHeight="1">
      <c r="A553" s="17">
        <v>43009.083333333336</v>
      </c>
      <c r="B553" s="2" t="s">
        <v>66</v>
      </c>
      <c r="C553" s="2">
        <v>0.0</v>
      </c>
      <c r="D553" s="3" t="s">
        <v>577</v>
      </c>
      <c r="E553" s="2">
        <v>0.0</v>
      </c>
      <c r="F553" s="2" t="s">
        <v>98</v>
      </c>
      <c r="G553" s="2">
        <v>96.0</v>
      </c>
      <c r="H553" s="2">
        <v>0.0</v>
      </c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3.5" customHeight="1">
      <c r="A554" s="17">
        <v>43010.083333333336</v>
      </c>
      <c r="B554" s="2" t="s">
        <v>71</v>
      </c>
      <c r="C554" s="2">
        <v>0.0</v>
      </c>
      <c r="D554" s="3">
        <v>1020.0</v>
      </c>
      <c r="E554" s="2">
        <v>0.0</v>
      </c>
      <c r="F554" s="2" t="s">
        <v>98</v>
      </c>
      <c r="G554" s="2">
        <v>96.0</v>
      </c>
      <c r="H554" s="2">
        <v>0.0</v>
      </c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3.5" customHeight="1">
      <c r="A555" s="17">
        <v>43011.083333333336</v>
      </c>
      <c r="B555" s="2" t="s">
        <v>71</v>
      </c>
      <c r="C555" s="2">
        <v>0.0</v>
      </c>
      <c r="D555" s="3" t="s">
        <v>561</v>
      </c>
      <c r="E555" s="2">
        <v>0.0</v>
      </c>
      <c r="F555" s="2">
        <v>-5.0</v>
      </c>
      <c r="G555" s="2">
        <v>96.0</v>
      </c>
      <c r="H555" s="2">
        <v>0.0</v>
      </c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3.5" customHeight="1">
      <c r="A556" s="17">
        <v>43012.083333333336</v>
      </c>
      <c r="B556" s="2" t="s">
        <v>112</v>
      </c>
      <c r="C556" s="2">
        <v>0.0</v>
      </c>
      <c r="D556" s="3" t="s">
        <v>578</v>
      </c>
      <c r="E556" s="2">
        <v>0.0</v>
      </c>
      <c r="F556" s="2" t="s">
        <v>422</v>
      </c>
      <c r="G556" s="2">
        <v>96.0</v>
      </c>
      <c r="H556" s="2">
        <v>0.0</v>
      </c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3.5" customHeight="1">
      <c r="A557" s="17">
        <v>43013.083333333336</v>
      </c>
      <c r="B557" s="2">
        <v>1.0</v>
      </c>
      <c r="C557" s="2">
        <v>0.0</v>
      </c>
      <c r="D557" s="3" t="s">
        <v>305</v>
      </c>
      <c r="E557" s="2">
        <v>0.0</v>
      </c>
      <c r="F557" s="2" t="s">
        <v>176</v>
      </c>
      <c r="G557" s="2">
        <v>96.0</v>
      </c>
      <c r="H557" s="2">
        <v>0.0</v>
      </c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3.5" customHeight="1">
      <c r="A558" s="17">
        <v>43014.083333333336</v>
      </c>
      <c r="B558" s="2" t="s">
        <v>112</v>
      </c>
      <c r="C558" s="2">
        <v>0.0</v>
      </c>
      <c r="D558" s="3" t="s">
        <v>305</v>
      </c>
      <c r="E558" s="2">
        <v>0.0</v>
      </c>
      <c r="F558" s="2" t="s">
        <v>425</v>
      </c>
      <c r="G558" s="2">
        <v>95.0</v>
      </c>
      <c r="H558" s="2">
        <v>0.0</v>
      </c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3.5" customHeight="1">
      <c r="A559" s="17">
        <v>43015.083333333336</v>
      </c>
      <c r="B559" s="2" t="s">
        <v>106</v>
      </c>
      <c r="C559" s="2">
        <v>0.0</v>
      </c>
      <c r="D559" s="3" t="s">
        <v>305</v>
      </c>
      <c r="E559" s="2">
        <v>0.0</v>
      </c>
      <c r="F559" s="2" t="s">
        <v>425</v>
      </c>
      <c r="G559" s="2">
        <v>95.0</v>
      </c>
      <c r="H559" s="2">
        <v>0.0</v>
      </c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3.5" customHeight="1">
      <c r="A560" s="17">
        <v>43016.083333333336</v>
      </c>
      <c r="B560" s="2" t="s">
        <v>8</v>
      </c>
      <c r="C560" s="2">
        <v>0.0</v>
      </c>
      <c r="D560" s="3" t="s">
        <v>579</v>
      </c>
      <c r="E560" s="2">
        <v>0.0</v>
      </c>
      <c r="F560" s="2" t="s">
        <v>458</v>
      </c>
      <c r="G560" s="2">
        <v>96.0</v>
      </c>
      <c r="H560" s="2">
        <v>0.0</v>
      </c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3.5" customHeight="1">
      <c r="A561" s="17">
        <v>43017.083333333336</v>
      </c>
      <c r="B561" s="2" t="s">
        <v>66</v>
      </c>
      <c r="C561" s="2">
        <v>0.0</v>
      </c>
      <c r="D561" s="3" t="s">
        <v>580</v>
      </c>
      <c r="E561" s="2">
        <v>0.0</v>
      </c>
      <c r="F561" s="2" t="s">
        <v>176</v>
      </c>
      <c r="G561" s="2">
        <v>96.0</v>
      </c>
      <c r="H561" s="2">
        <v>0.0</v>
      </c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3.5" customHeight="1">
      <c r="A562" s="17">
        <v>43018.083333333336</v>
      </c>
      <c r="B562" s="2" t="s">
        <v>66</v>
      </c>
      <c r="C562" s="2">
        <v>0.0</v>
      </c>
      <c r="D562" s="3" t="s">
        <v>581</v>
      </c>
      <c r="E562" s="2">
        <v>0.0</v>
      </c>
      <c r="F562" s="2" t="s">
        <v>582</v>
      </c>
      <c r="G562" s="2">
        <v>95.0</v>
      </c>
      <c r="H562" s="2">
        <v>0.0</v>
      </c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3.5" customHeight="1">
      <c r="A563" s="17">
        <v>43019.083333333336</v>
      </c>
      <c r="B563" s="2" t="s">
        <v>71</v>
      </c>
      <c r="C563" s="2">
        <v>0.0</v>
      </c>
      <c r="D563" s="3" t="s">
        <v>466</v>
      </c>
      <c r="E563" s="2">
        <v>0.0</v>
      </c>
      <c r="F563" s="2" t="s">
        <v>95</v>
      </c>
      <c r="G563" s="2">
        <v>95.0</v>
      </c>
      <c r="H563" s="2">
        <v>0.0</v>
      </c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3.5" customHeight="1">
      <c r="A564" s="17">
        <v>43020.083333333336</v>
      </c>
      <c r="B564" s="2" t="s">
        <v>264</v>
      </c>
      <c r="C564" s="2">
        <v>34.0</v>
      </c>
      <c r="D564" s="3" t="s">
        <v>252</v>
      </c>
      <c r="E564" s="2" t="s">
        <v>583</v>
      </c>
      <c r="F564" s="2" t="s">
        <v>98</v>
      </c>
      <c r="G564" s="2">
        <v>96.0</v>
      </c>
      <c r="H564" s="2">
        <v>0.0</v>
      </c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3.5" customHeight="1">
      <c r="A565" s="17">
        <v>43021.083333333336</v>
      </c>
      <c r="B565" s="2">
        <v>0.0</v>
      </c>
      <c r="C565" s="2">
        <v>60.0</v>
      </c>
      <c r="D565" s="3" t="s">
        <v>531</v>
      </c>
      <c r="E565" s="2" t="s">
        <v>584</v>
      </c>
      <c r="F565" s="2">
        <v>-4.0</v>
      </c>
      <c r="G565" s="2">
        <v>96.0</v>
      </c>
      <c r="H565" s="2">
        <v>263333.0</v>
      </c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3.5" customHeight="1">
      <c r="A566" s="17">
        <v>43022.083333333336</v>
      </c>
      <c r="B566" s="2" t="s">
        <v>66</v>
      </c>
      <c r="C566" s="2">
        <v>39.0</v>
      </c>
      <c r="D566" s="3" t="s">
        <v>297</v>
      </c>
      <c r="E566" s="2" t="s">
        <v>585</v>
      </c>
      <c r="F566" s="2" t="s">
        <v>80</v>
      </c>
      <c r="G566" s="2">
        <v>97.0</v>
      </c>
      <c r="H566" s="2">
        <v>8531667.0</v>
      </c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3.5" customHeight="1">
      <c r="A567" s="17">
        <v>43023.083333333336</v>
      </c>
      <c r="B567" s="2" t="s">
        <v>66</v>
      </c>
      <c r="C567" s="2">
        <v>9.0</v>
      </c>
      <c r="D567" s="3" t="s">
        <v>177</v>
      </c>
      <c r="E567" s="2" t="s">
        <v>586</v>
      </c>
      <c r="F567" s="2" t="s">
        <v>119</v>
      </c>
      <c r="G567" s="2">
        <v>97.0</v>
      </c>
      <c r="H567" s="2">
        <v>9733333.0</v>
      </c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3.5" customHeight="1">
      <c r="A568" s="17">
        <v>43024.083333333336</v>
      </c>
      <c r="B568" s="2" t="s">
        <v>8</v>
      </c>
      <c r="C568" s="2">
        <v>0.0</v>
      </c>
      <c r="D568" s="3" t="s">
        <v>299</v>
      </c>
      <c r="E568" s="2" t="s">
        <v>587</v>
      </c>
      <c r="F568" s="2" t="s">
        <v>68</v>
      </c>
      <c r="G568" s="2">
        <v>97.0</v>
      </c>
      <c r="H568" s="2">
        <v>5561667.0</v>
      </c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3.5" customHeight="1">
      <c r="A569" s="17">
        <v>43025.083333333336</v>
      </c>
      <c r="B569" s="2" t="s">
        <v>71</v>
      </c>
      <c r="C569" s="2">
        <v>29.0</v>
      </c>
      <c r="D569" s="3" t="s">
        <v>271</v>
      </c>
      <c r="E569" s="2" t="s">
        <v>588</v>
      </c>
      <c r="F569" s="2" t="s">
        <v>80</v>
      </c>
      <c r="G569" s="2">
        <v>97.0</v>
      </c>
      <c r="H569" s="2">
        <v>2915001.0</v>
      </c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3.5" customHeight="1">
      <c r="A570" s="17">
        <v>43026.083333333336</v>
      </c>
      <c r="B570" s="2" t="s">
        <v>87</v>
      </c>
      <c r="C570" s="2">
        <v>20.0</v>
      </c>
      <c r="D570" s="3" t="s">
        <v>177</v>
      </c>
      <c r="E570" s="2" t="s">
        <v>589</v>
      </c>
      <c r="F570" s="2" t="s">
        <v>277</v>
      </c>
      <c r="G570" s="2">
        <v>97.0</v>
      </c>
      <c r="H570" s="2">
        <v>186667.0</v>
      </c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3.5" customHeight="1">
      <c r="A571" s="17">
        <v>43027.083333333336</v>
      </c>
      <c r="B571" s="2" t="s">
        <v>87</v>
      </c>
      <c r="C571" s="2">
        <v>0.0</v>
      </c>
      <c r="D571" s="3" t="s">
        <v>297</v>
      </c>
      <c r="E571" s="2">
        <v>0.0</v>
      </c>
      <c r="F571" s="2" t="s">
        <v>162</v>
      </c>
      <c r="G571" s="2">
        <v>98.0</v>
      </c>
      <c r="H571" s="2">
        <v>0.0</v>
      </c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3.5" customHeight="1">
      <c r="A572" s="17">
        <v>43028.083333333336</v>
      </c>
      <c r="B572" s="2">
        <v>1.0</v>
      </c>
      <c r="C572" s="2">
        <v>0.0</v>
      </c>
      <c r="D572" s="3" t="s">
        <v>252</v>
      </c>
      <c r="E572" s="2">
        <v>0.0</v>
      </c>
      <c r="F572" s="2" t="s">
        <v>277</v>
      </c>
      <c r="G572" s="2">
        <v>98.0</v>
      </c>
      <c r="H572" s="2">
        <v>0.0</v>
      </c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3.5" customHeight="1">
      <c r="A573" s="17">
        <v>43029.083333333336</v>
      </c>
      <c r="B573" s="2" t="s">
        <v>87</v>
      </c>
      <c r="C573" s="2">
        <v>0.0</v>
      </c>
      <c r="D573" s="3" t="s">
        <v>252</v>
      </c>
      <c r="E573" s="2">
        <v>0.0</v>
      </c>
      <c r="F573" s="2" t="s">
        <v>68</v>
      </c>
      <c r="G573" s="2">
        <v>99.0</v>
      </c>
      <c r="H573" s="2">
        <v>0.0</v>
      </c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3.5" customHeight="1">
      <c r="A574" s="17">
        <v>43030.083333333336</v>
      </c>
      <c r="B574" s="2" t="s">
        <v>24</v>
      </c>
      <c r="C574" s="2">
        <v>0.0</v>
      </c>
      <c r="D574" s="3" t="s">
        <v>297</v>
      </c>
      <c r="E574" s="2">
        <v>0.0</v>
      </c>
      <c r="F574" s="2" t="s">
        <v>139</v>
      </c>
      <c r="G574" s="2">
        <v>99.0</v>
      </c>
      <c r="H574" s="2">
        <v>0.0</v>
      </c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3.5" customHeight="1">
      <c r="A575" s="17">
        <v>43031.083333333336</v>
      </c>
      <c r="B575" s="2">
        <v>1.0</v>
      </c>
      <c r="C575" s="2">
        <v>0.0</v>
      </c>
      <c r="D575" s="3">
        <v>1023.0</v>
      </c>
      <c r="E575" s="2">
        <v>0.0</v>
      </c>
      <c r="F575" s="2" t="s">
        <v>134</v>
      </c>
      <c r="G575" s="2">
        <v>99.0</v>
      </c>
      <c r="H575" s="2">
        <v>0.0</v>
      </c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3.5" customHeight="1">
      <c r="A576" s="17">
        <v>43032.083333333336</v>
      </c>
      <c r="B576" s="2" t="s">
        <v>264</v>
      </c>
      <c r="C576" s="2">
        <v>0.0</v>
      </c>
      <c r="D576" s="3" t="s">
        <v>531</v>
      </c>
      <c r="E576" s="2">
        <v>0.0</v>
      </c>
      <c r="F576" s="2" t="s">
        <v>139</v>
      </c>
      <c r="G576" s="2">
        <v>99.0</v>
      </c>
      <c r="H576" s="2">
        <v>0.0</v>
      </c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3.5" customHeight="1">
      <c r="A577" s="17">
        <v>43033.083333333336</v>
      </c>
      <c r="B577" s="2" t="s">
        <v>40</v>
      </c>
      <c r="C577" s="2">
        <v>0.0</v>
      </c>
      <c r="D577" s="3">
        <v>1023.0</v>
      </c>
      <c r="E577" s="2">
        <v>0.0</v>
      </c>
      <c r="F577" s="2" t="s">
        <v>36</v>
      </c>
      <c r="G577" s="2">
        <v>99.0</v>
      </c>
      <c r="H577" s="2">
        <v>0.0</v>
      </c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3.5" customHeight="1">
      <c r="A578" s="17">
        <v>43034.083333333336</v>
      </c>
      <c r="B578" s="2" t="s">
        <v>71</v>
      </c>
      <c r="C578" s="2">
        <v>0.0</v>
      </c>
      <c r="D578" s="3">
        <v>1023.0</v>
      </c>
      <c r="E578" s="2">
        <v>0.0</v>
      </c>
      <c r="F578" s="2" t="s">
        <v>36</v>
      </c>
      <c r="G578" s="2">
        <v>99.0</v>
      </c>
      <c r="H578" s="2">
        <v>0.0</v>
      </c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3.5" customHeight="1">
      <c r="A579" s="17">
        <v>43035.083333333336</v>
      </c>
      <c r="B579" s="2" t="s">
        <v>106</v>
      </c>
      <c r="C579" s="2">
        <v>0.0</v>
      </c>
      <c r="D579" s="3">
        <v>1023.0</v>
      </c>
      <c r="E579" s="2">
        <v>0.0</v>
      </c>
      <c r="F579" s="2">
        <v>-2.0</v>
      </c>
      <c r="G579" s="2">
        <v>99.0</v>
      </c>
      <c r="H579" s="2">
        <v>0.0</v>
      </c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3.5" customHeight="1">
      <c r="A580" s="17">
        <v>43036.083333333336</v>
      </c>
      <c r="B580" s="2" t="s">
        <v>37</v>
      </c>
      <c r="C580" s="2">
        <v>0.0</v>
      </c>
      <c r="D580" s="3" t="s">
        <v>530</v>
      </c>
      <c r="E580" s="2">
        <v>0.0</v>
      </c>
      <c r="F580" s="2">
        <v>-2.0</v>
      </c>
      <c r="G580" s="2">
        <v>99.0</v>
      </c>
      <c r="H580" s="2">
        <v>0.0</v>
      </c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3.5" customHeight="1">
      <c r="A581" s="17">
        <v>43037.083333333336</v>
      </c>
      <c r="B581" s="2" t="s">
        <v>71</v>
      </c>
      <c r="C581" s="2">
        <v>0.0</v>
      </c>
      <c r="D581" s="3" t="s">
        <v>297</v>
      </c>
      <c r="E581" s="2">
        <v>0.0</v>
      </c>
      <c r="F581" s="2" t="s">
        <v>36</v>
      </c>
      <c r="G581" s="2">
        <v>99.0</v>
      </c>
      <c r="H581" s="2">
        <v>0.0</v>
      </c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3.5" customHeight="1">
      <c r="A582" s="17">
        <v>43038.083333333336</v>
      </c>
      <c r="B582" s="2" t="s">
        <v>28</v>
      </c>
      <c r="C582" s="2">
        <v>0.0</v>
      </c>
      <c r="D582" s="3" t="s">
        <v>297</v>
      </c>
      <c r="E582" s="2">
        <v>0.0</v>
      </c>
      <c r="F582" s="2">
        <v>-2.0</v>
      </c>
      <c r="G582" s="2">
        <v>99.0</v>
      </c>
      <c r="H582" s="2">
        <v>0.0</v>
      </c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3.5" customHeight="1">
      <c r="A583" s="17">
        <v>43039.083333333336</v>
      </c>
      <c r="B583" s="2" t="s">
        <v>8</v>
      </c>
      <c r="C583" s="2">
        <v>0.0</v>
      </c>
      <c r="D583" s="3">
        <v>1023.0</v>
      </c>
      <c r="E583" s="2">
        <v>0.0</v>
      </c>
      <c r="F583" s="2" t="s">
        <v>36</v>
      </c>
      <c r="G583" s="2">
        <v>99.0</v>
      </c>
      <c r="H583" s="2">
        <v>0.0</v>
      </c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3.5" customHeight="1">
      <c r="A584" s="17">
        <v>43040.083333333336</v>
      </c>
      <c r="B584" s="2" t="s">
        <v>66</v>
      </c>
      <c r="C584" s="2">
        <v>0.0</v>
      </c>
      <c r="D584" s="3" t="s">
        <v>271</v>
      </c>
      <c r="E584" s="2">
        <v>0.0</v>
      </c>
      <c r="F584" s="2" t="s">
        <v>139</v>
      </c>
      <c r="G584" s="2">
        <v>99.0</v>
      </c>
      <c r="H584" s="2">
        <v>0.0</v>
      </c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3.5" customHeight="1">
      <c r="A585" s="17">
        <v>43041.083333333336</v>
      </c>
      <c r="B585" s="2" t="s">
        <v>40</v>
      </c>
      <c r="C585" s="2">
        <v>0.0</v>
      </c>
      <c r="D585" s="3" t="s">
        <v>297</v>
      </c>
      <c r="E585" s="2">
        <v>0.0</v>
      </c>
      <c r="F585" s="2" t="s">
        <v>36</v>
      </c>
      <c r="G585" s="2">
        <v>99.0</v>
      </c>
      <c r="H585" s="2">
        <v>0.0</v>
      </c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3.5" customHeight="1">
      <c r="A586" s="17">
        <v>43042.083333333336</v>
      </c>
      <c r="B586" s="2" t="s">
        <v>264</v>
      </c>
      <c r="C586" s="2">
        <v>0.0</v>
      </c>
      <c r="D586" s="3" t="s">
        <v>297</v>
      </c>
      <c r="E586" s="2">
        <v>0.0</v>
      </c>
      <c r="F586" s="2" t="s">
        <v>139</v>
      </c>
      <c r="G586" s="2">
        <v>99.0</v>
      </c>
      <c r="H586" s="2">
        <v>0.0</v>
      </c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3.5" customHeight="1">
      <c r="A587" s="17">
        <v>43043.083333333336</v>
      </c>
      <c r="B587" s="2" t="s">
        <v>37</v>
      </c>
      <c r="C587" s="2">
        <v>0.0</v>
      </c>
      <c r="D587" s="3" t="s">
        <v>273</v>
      </c>
      <c r="E587" s="2">
        <v>0.0</v>
      </c>
      <c r="F587" s="2" t="s">
        <v>36</v>
      </c>
      <c r="G587" s="2">
        <v>99.0</v>
      </c>
      <c r="H587" s="2">
        <v>0.0</v>
      </c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3.5" customHeight="1">
      <c r="A588" s="17">
        <v>43044.083333333336</v>
      </c>
      <c r="B588" s="2" t="s">
        <v>40</v>
      </c>
      <c r="C588" s="2">
        <v>0.0</v>
      </c>
      <c r="D588" s="3" t="s">
        <v>273</v>
      </c>
      <c r="E588" s="2" t="s">
        <v>89</v>
      </c>
      <c r="F588" s="2" t="s">
        <v>139</v>
      </c>
      <c r="G588" s="2">
        <v>98.0</v>
      </c>
      <c r="H588" s="2">
        <v>0.0</v>
      </c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3.5" customHeight="1">
      <c r="A589" s="17">
        <v>43045.083333333336</v>
      </c>
      <c r="B589" s="2" t="s">
        <v>66</v>
      </c>
      <c r="C589" s="2">
        <v>0.0</v>
      </c>
      <c r="D589" s="3" t="s">
        <v>294</v>
      </c>
      <c r="E589" s="2" t="s">
        <v>590</v>
      </c>
      <c r="F589" s="2" t="s">
        <v>134</v>
      </c>
      <c r="G589" s="2">
        <v>98.0</v>
      </c>
      <c r="H589" s="2">
        <v>1803333.0</v>
      </c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3.5" customHeight="1">
      <c r="A590" s="17">
        <v>43046.083333333336</v>
      </c>
      <c r="B590" s="2" t="s">
        <v>37</v>
      </c>
      <c r="C590" s="2">
        <v>0.0</v>
      </c>
      <c r="D590" s="3">
        <v>1023.0</v>
      </c>
      <c r="E590" s="2" t="s">
        <v>591</v>
      </c>
      <c r="F590" s="2" t="s">
        <v>16</v>
      </c>
      <c r="G590" s="2">
        <v>99.0</v>
      </c>
      <c r="H590" s="2">
        <v>7618333.0</v>
      </c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3.5" customHeight="1">
      <c r="A591" s="17">
        <v>43047.083333333336</v>
      </c>
      <c r="B591" s="2" t="s">
        <v>25</v>
      </c>
      <c r="C591" s="2">
        <v>0.0</v>
      </c>
      <c r="D591" s="3" t="s">
        <v>271</v>
      </c>
      <c r="E591" s="2" t="s">
        <v>483</v>
      </c>
      <c r="F591" s="2" t="s">
        <v>145</v>
      </c>
      <c r="G591" s="2">
        <v>99.0</v>
      </c>
      <c r="H591" s="2">
        <v>7238334.0</v>
      </c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3.5" customHeight="1">
      <c r="A592" s="17">
        <v>43048.083333333336</v>
      </c>
      <c r="B592" s="2" t="s">
        <v>37</v>
      </c>
      <c r="C592" s="2">
        <v>0.0</v>
      </c>
      <c r="D592" s="3" t="s">
        <v>297</v>
      </c>
      <c r="E592" s="2">
        <v>57.0</v>
      </c>
      <c r="F592" s="2" t="s">
        <v>16</v>
      </c>
      <c r="G592" s="2">
        <v>99.0</v>
      </c>
      <c r="H592" s="2">
        <v>4638333.0</v>
      </c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3.5" customHeight="1">
      <c r="A593" s="17">
        <v>43049.083333333336</v>
      </c>
      <c r="B593" s="2" t="s">
        <v>8</v>
      </c>
      <c r="C593" s="2">
        <v>0.0</v>
      </c>
      <c r="D593" s="3" t="s">
        <v>269</v>
      </c>
      <c r="E593" s="2" t="s">
        <v>592</v>
      </c>
      <c r="F593" s="2" t="s">
        <v>143</v>
      </c>
      <c r="G593" s="2">
        <v>99.0</v>
      </c>
      <c r="H593" s="2">
        <v>1665001.0</v>
      </c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3.5" customHeight="1">
      <c r="A594" s="17">
        <v>43050.083333333336</v>
      </c>
      <c r="B594" s="2" t="s">
        <v>106</v>
      </c>
      <c r="C594" s="2">
        <v>0.0</v>
      </c>
      <c r="D594" s="3" t="s">
        <v>269</v>
      </c>
      <c r="E594" s="2" t="s">
        <v>251</v>
      </c>
      <c r="F594" s="2" t="s">
        <v>250</v>
      </c>
      <c r="G594" s="2">
        <v>99.0</v>
      </c>
      <c r="H594" s="2">
        <v>27.0</v>
      </c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3.5" customHeight="1">
      <c r="A595" s="17">
        <v>43051.083333333336</v>
      </c>
      <c r="B595" s="2" t="s">
        <v>101</v>
      </c>
      <c r="C595" s="2">
        <v>0.0</v>
      </c>
      <c r="D595" s="3" t="s">
        <v>593</v>
      </c>
      <c r="E595" s="2">
        <v>0.0</v>
      </c>
      <c r="F595" s="2">
        <v>0.0</v>
      </c>
      <c r="G595" s="2">
        <v>100.0</v>
      </c>
      <c r="H595" s="2">
        <v>0.0</v>
      </c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3.5" customHeight="1">
      <c r="A596" s="17">
        <v>43052.083333333336</v>
      </c>
      <c r="B596" s="2" t="s">
        <v>37</v>
      </c>
      <c r="C596" s="2">
        <v>0.0</v>
      </c>
      <c r="D596" s="3" t="s">
        <v>269</v>
      </c>
      <c r="E596" s="2">
        <v>0.0</v>
      </c>
      <c r="F596" s="2" t="s">
        <v>112</v>
      </c>
      <c r="G596" s="2">
        <v>100.0</v>
      </c>
      <c r="H596" s="2">
        <v>0.0</v>
      </c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3.5" customHeight="1">
      <c r="A597" s="17">
        <v>43053.083333333336</v>
      </c>
      <c r="B597" s="2" t="s">
        <v>264</v>
      </c>
      <c r="C597" s="2">
        <v>0.0</v>
      </c>
      <c r="D597" s="3" t="s">
        <v>252</v>
      </c>
      <c r="E597" s="2">
        <v>0.0</v>
      </c>
      <c r="F597" s="2" t="s">
        <v>71</v>
      </c>
      <c r="G597" s="2">
        <v>100.0</v>
      </c>
      <c r="H597" s="2">
        <v>0.0</v>
      </c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3.5" customHeight="1">
      <c r="A598" s="17">
        <v>43054.083333333336</v>
      </c>
      <c r="B598" s="2" t="s">
        <v>24</v>
      </c>
      <c r="C598" s="2">
        <v>0.0</v>
      </c>
      <c r="D598" s="3" t="s">
        <v>531</v>
      </c>
      <c r="E598" s="2">
        <v>0.0</v>
      </c>
      <c r="F598" s="2" t="s">
        <v>29</v>
      </c>
      <c r="G598" s="2">
        <v>100.0</v>
      </c>
      <c r="H598" s="2">
        <v>0.0</v>
      </c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3.5" customHeight="1">
      <c r="A599" s="17">
        <v>43055.083333333336</v>
      </c>
      <c r="B599" s="2" t="s">
        <v>40</v>
      </c>
      <c r="C599" s="2">
        <v>0.0</v>
      </c>
      <c r="D599" s="3" t="s">
        <v>294</v>
      </c>
      <c r="E599" s="2">
        <v>0.0</v>
      </c>
      <c r="F599" s="2" t="s">
        <v>24</v>
      </c>
      <c r="G599" s="2">
        <v>100.0</v>
      </c>
      <c r="H599" s="2">
        <v>0.0</v>
      </c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3.5" customHeight="1">
      <c r="A600" s="17">
        <v>43056.083333333336</v>
      </c>
      <c r="B600" s="2" t="s">
        <v>71</v>
      </c>
      <c r="C600" s="2">
        <v>0.0</v>
      </c>
      <c r="D600" s="3" t="s">
        <v>524</v>
      </c>
      <c r="E600" s="2">
        <v>0.0</v>
      </c>
      <c r="F600" s="2" t="s">
        <v>37</v>
      </c>
      <c r="G600" s="2">
        <v>100.0</v>
      </c>
      <c r="H600" s="2">
        <v>0.0</v>
      </c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3.5" customHeight="1">
      <c r="A601" s="17">
        <v>43057.083333333336</v>
      </c>
      <c r="B601" s="2" t="s">
        <v>101</v>
      </c>
      <c r="C601" s="2">
        <v>0.0</v>
      </c>
      <c r="D601" s="3" t="s">
        <v>273</v>
      </c>
      <c r="E601" s="2">
        <v>0.0</v>
      </c>
      <c r="F601" s="2" t="s">
        <v>25</v>
      </c>
      <c r="G601" s="2">
        <v>100.0</v>
      </c>
      <c r="H601" s="2">
        <v>0.0</v>
      </c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3.5" customHeight="1">
      <c r="A602" s="17">
        <v>43058.083333333336</v>
      </c>
      <c r="B602" s="2" t="s">
        <v>43</v>
      </c>
      <c r="C602" s="2">
        <v>0.0</v>
      </c>
      <c r="D602" s="3" t="s">
        <v>594</v>
      </c>
      <c r="E602" s="2">
        <v>0.0</v>
      </c>
      <c r="F602" s="2" t="s">
        <v>25</v>
      </c>
      <c r="G602" s="2">
        <v>100.0</v>
      </c>
      <c r="H602" s="2">
        <v>0.0</v>
      </c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3.5" customHeight="1">
      <c r="A603" s="17">
        <v>43059.083333333336</v>
      </c>
      <c r="B603" s="2" t="s">
        <v>28</v>
      </c>
      <c r="C603" s="2">
        <v>0.0</v>
      </c>
      <c r="D603" s="3" t="s">
        <v>179</v>
      </c>
      <c r="E603" s="2">
        <v>0.0</v>
      </c>
      <c r="F603" s="2" t="s">
        <v>24</v>
      </c>
      <c r="G603" s="2">
        <v>100.0</v>
      </c>
      <c r="H603" s="2">
        <v>0.0</v>
      </c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3.5" customHeight="1">
      <c r="A604" s="17">
        <v>43060.083333333336</v>
      </c>
      <c r="B604" s="2" t="s">
        <v>24</v>
      </c>
      <c r="C604" s="2">
        <v>0.0</v>
      </c>
      <c r="D604" s="3" t="s">
        <v>275</v>
      </c>
      <c r="E604" s="2">
        <v>0.0</v>
      </c>
      <c r="F604" s="2" t="s">
        <v>87</v>
      </c>
      <c r="G604" s="2">
        <v>100.0</v>
      </c>
      <c r="H604" s="2">
        <v>0.0</v>
      </c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3.5" customHeight="1">
      <c r="A605" s="17">
        <v>43061.083333333336</v>
      </c>
      <c r="B605" s="2" t="s">
        <v>89</v>
      </c>
      <c r="C605" s="2">
        <v>0.0</v>
      </c>
      <c r="D605" s="3" t="s">
        <v>275</v>
      </c>
      <c r="E605" s="2">
        <v>0.0</v>
      </c>
      <c r="F605" s="2" t="s">
        <v>43</v>
      </c>
      <c r="G605" s="2">
        <v>100.0</v>
      </c>
      <c r="H605" s="2">
        <v>0.0</v>
      </c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3.5" customHeight="1">
      <c r="A606" s="17">
        <v>43062.083333333336</v>
      </c>
      <c r="B606" s="2" t="s">
        <v>101</v>
      </c>
      <c r="C606" s="2">
        <v>0.0</v>
      </c>
      <c r="D606" s="3" t="s">
        <v>594</v>
      </c>
      <c r="E606" s="2">
        <v>0.0</v>
      </c>
      <c r="F606" s="2" t="s">
        <v>89</v>
      </c>
      <c r="G606" s="2">
        <v>100.0</v>
      </c>
      <c r="H606" s="2">
        <v>0.0</v>
      </c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3.5" customHeight="1">
      <c r="A607" s="17">
        <v>43063.083333333336</v>
      </c>
      <c r="B607" s="2" t="s">
        <v>24</v>
      </c>
      <c r="C607" s="2">
        <v>0.0</v>
      </c>
      <c r="D607" s="3" t="s">
        <v>524</v>
      </c>
      <c r="E607" s="2">
        <v>0.0</v>
      </c>
      <c r="F607" s="2" t="s">
        <v>17</v>
      </c>
      <c r="G607" s="2">
        <v>100.0</v>
      </c>
      <c r="H607" s="2">
        <v>0.0</v>
      </c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3.5" customHeight="1">
      <c r="A608" s="17">
        <v>43064.083333333336</v>
      </c>
      <c r="B608" s="2" t="s">
        <v>64</v>
      </c>
      <c r="C608" s="2">
        <v>0.0</v>
      </c>
      <c r="D608" s="3" t="s">
        <v>532</v>
      </c>
      <c r="E608" s="2">
        <v>0.0</v>
      </c>
      <c r="F608" s="2" t="s">
        <v>89</v>
      </c>
      <c r="G608" s="2">
        <v>100.0</v>
      </c>
      <c r="H608" s="2">
        <v>0.0</v>
      </c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3.5" customHeight="1">
      <c r="A609" s="17">
        <v>43065.083333333336</v>
      </c>
      <c r="B609" s="2">
        <v>1.0</v>
      </c>
      <c r="C609" s="2">
        <v>0.0</v>
      </c>
      <c r="D609" s="3" t="s">
        <v>179</v>
      </c>
      <c r="E609" s="2">
        <v>0.0</v>
      </c>
      <c r="F609" s="2" t="s">
        <v>89</v>
      </c>
      <c r="G609" s="2">
        <v>100.0</v>
      </c>
      <c r="H609" s="2">
        <v>0.0</v>
      </c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3.5" customHeight="1">
      <c r="A610" s="17">
        <v>43066.083333333336</v>
      </c>
      <c r="B610" s="2" t="s">
        <v>25</v>
      </c>
      <c r="C610" s="2">
        <v>0.0</v>
      </c>
      <c r="D610" s="3" t="s">
        <v>291</v>
      </c>
      <c r="E610" s="2">
        <v>0.0</v>
      </c>
      <c r="F610" s="2" t="s">
        <v>138</v>
      </c>
      <c r="G610" s="2">
        <v>100.0</v>
      </c>
      <c r="H610" s="2">
        <v>0.0</v>
      </c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3.5" customHeight="1">
      <c r="A611" s="17">
        <v>43067.083333333336</v>
      </c>
      <c r="B611" s="2" t="s">
        <v>17</v>
      </c>
      <c r="C611" s="2">
        <v>0.0</v>
      </c>
      <c r="D611" s="3" t="s">
        <v>289</v>
      </c>
      <c r="E611" s="2">
        <v>0.0</v>
      </c>
      <c r="F611" s="2" t="s">
        <v>101</v>
      </c>
      <c r="G611" s="2">
        <v>100.0</v>
      </c>
      <c r="H611" s="2">
        <v>0.0</v>
      </c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3.5" customHeight="1">
      <c r="A612" s="17">
        <v>43068.083333333336</v>
      </c>
      <c r="B612" s="2" t="s">
        <v>87</v>
      </c>
      <c r="C612" s="2">
        <v>0.0</v>
      </c>
      <c r="D612" s="3" t="s">
        <v>538</v>
      </c>
      <c r="E612" s="2" t="s">
        <v>171</v>
      </c>
      <c r="F612" s="2" t="s">
        <v>24</v>
      </c>
      <c r="G612" s="2">
        <v>100.0</v>
      </c>
      <c r="H612" s="2">
        <v>20.0</v>
      </c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3.5" customHeight="1">
      <c r="A613" s="17">
        <v>43069.083333333336</v>
      </c>
      <c r="B613" s="2" t="s">
        <v>29</v>
      </c>
      <c r="C613" s="2">
        <v>0.0</v>
      </c>
      <c r="D613" s="3" t="s">
        <v>520</v>
      </c>
      <c r="E613" s="2" t="s">
        <v>595</v>
      </c>
      <c r="F613" s="2" t="s">
        <v>24</v>
      </c>
      <c r="G613" s="2">
        <v>99.0</v>
      </c>
      <c r="H613" s="2">
        <v>5618334.0</v>
      </c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3.5" customHeight="1">
      <c r="A614" s="17">
        <v>43070.083333333336</v>
      </c>
      <c r="B614" s="2" t="s">
        <v>101</v>
      </c>
      <c r="C614" s="2">
        <v>0.0</v>
      </c>
      <c r="D614" s="3" t="s">
        <v>472</v>
      </c>
      <c r="E614" s="2" t="s">
        <v>596</v>
      </c>
      <c r="F614" s="2" t="s">
        <v>29</v>
      </c>
      <c r="G614" s="2">
        <v>99.0</v>
      </c>
      <c r="H614" s="2">
        <v>1455.0</v>
      </c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3.5" customHeight="1">
      <c r="A615" s="17">
        <v>43071.083333333336</v>
      </c>
      <c r="B615" s="2" t="s">
        <v>87</v>
      </c>
      <c r="C615" s="2">
        <v>0.0</v>
      </c>
      <c r="D615" s="3">
        <v>1026.0</v>
      </c>
      <c r="E615" s="2" t="s">
        <v>597</v>
      </c>
      <c r="F615" s="2" t="s">
        <v>25</v>
      </c>
      <c r="G615" s="2">
        <v>97.0</v>
      </c>
      <c r="H615" s="2">
        <v>1.6063333E7</v>
      </c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3.5" customHeight="1">
      <c r="A616" s="17">
        <v>43072.083333333336</v>
      </c>
      <c r="B616" s="2" t="s">
        <v>12</v>
      </c>
      <c r="C616" s="2">
        <v>0.0</v>
      </c>
      <c r="D616" s="3" t="s">
        <v>598</v>
      </c>
      <c r="E616" s="2">
        <v>62.0</v>
      </c>
      <c r="F616" s="2" t="s">
        <v>12</v>
      </c>
      <c r="G616" s="2">
        <v>95.0</v>
      </c>
      <c r="H616" s="2">
        <v>557.0</v>
      </c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3.5" customHeight="1">
      <c r="A617" s="17">
        <v>43073.083333333336</v>
      </c>
      <c r="B617" s="2" t="s">
        <v>87</v>
      </c>
      <c r="C617" s="2">
        <v>40.0</v>
      </c>
      <c r="D617" s="3" t="s">
        <v>599</v>
      </c>
      <c r="E617" s="2" t="s">
        <v>600</v>
      </c>
      <c r="F617" s="2" t="s">
        <v>43</v>
      </c>
      <c r="G617" s="2">
        <v>93.0</v>
      </c>
      <c r="H617" s="2">
        <v>2921666.0</v>
      </c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3.5" customHeight="1">
      <c r="A618" s="17">
        <v>43074.083333333336</v>
      </c>
      <c r="B618" s="2" t="s">
        <v>264</v>
      </c>
      <c r="C618" s="2">
        <v>23.0</v>
      </c>
      <c r="D618" s="3" t="s">
        <v>599</v>
      </c>
      <c r="E618" s="2" t="s">
        <v>601</v>
      </c>
      <c r="F618" s="2" t="s">
        <v>264</v>
      </c>
      <c r="G618" s="2">
        <v>94.0</v>
      </c>
      <c r="H618" s="2">
        <v>1013333.0</v>
      </c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3.5" customHeight="1">
      <c r="A619" s="17">
        <v>43075.083333333336</v>
      </c>
      <c r="B619" s="2" t="s">
        <v>66</v>
      </c>
      <c r="C619" s="2">
        <v>0.0</v>
      </c>
      <c r="D619" s="3">
        <v>1026.0</v>
      </c>
      <c r="E619" s="2">
        <v>0.0</v>
      </c>
      <c r="F619" s="2" t="s">
        <v>10</v>
      </c>
      <c r="G619" s="2">
        <v>97.0</v>
      </c>
      <c r="H619" s="2">
        <v>0.0</v>
      </c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3.5" customHeight="1">
      <c r="A620" s="17">
        <v>43076.083333333336</v>
      </c>
      <c r="B620" s="2" t="s">
        <v>71</v>
      </c>
      <c r="C620" s="2">
        <v>0.0</v>
      </c>
      <c r="D620" s="3" t="s">
        <v>280</v>
      </c>
      <c r="E620" s="2">
        <v>0.0</v>
      </c>
      <c r="F620" s="2" t="s">
        <v>250</v>
      </c>
      <c r="G620" s="2">
        <v>98.0</v>
      </c>
      <c r="H620" s="2">
        <v>0.0</v>
      </c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3.5" customHeight="1">
      <c r="A621" s="17">
        <v>43077.083333333336</v>
      </c>
      <c r="B621" s="2" t="s">
        <v>25</v>
      </c>
      <c r="C621" s="2">
        <v>0.0</v>
      </c>
      <c r="D621" s="3" t="s">
        <v>287</v>
      </c>
      <c r="E621" s="2">
        <v>0.0</v>
      </c>
      <c r="F621" s="2" t="s">
        <v>8</v>
      </c>
      <c r="G621" s="2">
        <v>99.0</v>
      </c>
      <c r="H621" s="2">
        <v>0.0</v>
      </c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3.5" customHeight="1">
      <c r="A622" s="17">
        <v>43078.083333333336</v>
      </c>
      <c r="B622" s="2" t="s">
        <v>101</v>
      </c>
      <c r="C622" s="2">
        <v>0.0</v>
      </c>
      <c r="D622" s="3" t="s">
        <v>281</v>
      </c>
      <c r="E622" s="2">
        <v>0.0</v>
      </c>
      <c r="F622" s="2" t="s">
        <v>264</v>
      </c>
      <c r="G622" s="2">
        <v>98.0</v>
      </c>
      <c r="H622" s="2">
        <v>0.0</v>
      </c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3.5" customHeight="1">
      <c r="A623" s="17">
        <v>43079.083333333336</v>
      </c>
      <c r="B623" s="2" t="s">
        <v>12</v>
      </c>
      <c r="C623" s="2">
        <v>0.0</v>
      </c>
      <c r="D623" s="3" t="s">
        <v>514</v>
      </c>
      <c r="E623" s="2">
        <v>0.0</v>
      </c>
      <c r="F623" s="2" t="s">
        <v>264</v>
      </c>
      <c r="G623" s="2">
        <v>98.0</v>
      </c>
      <c r="H623" s="2">
        <v>0.0</v>
      </c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3.5" customHeight="1">
      <c r="A624" s="17">
        <v>43080.083333333336</v>
      </c>
      <c r="B624" s="2" t="s">
        <v>24</v>
      </c>
      <c r="C624" s="2">
        <v>0.0</v>
      </c>
      <c r="D624" s="3" t="s">
        <v>282</v>
      </c>
      <c r="E624" s="2">
        <v>0.0</v>
      </c>
      <c r="F624" s="2">
        <v>1.0</v>
      </c>
      <c r="G624" s="2">
        <v>98.0</v>
      </c>
      <c r="H624" s="2">
        <v>0.0</v>
      </c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3.5" customHeight="1">
      <c r="A625" s="17">
        <v>43081.083333333336</v>
      </c>
      <c r="B625" s="2" t="s">
        <v>12</v>
      </c>
      <c r="C625" s="2">
        <v>0.0</v>
      </c>
      <c r="D625" s="3" t="s">
        <v>184</v>
      </c>
      <c r="E625" s="2">
        <v>0.0</v>
      </c>
      <c r="F625" s="2" t="s">
        <v>37</v>
      </c>
      <c r="G625" s="2">
        <v>97.0</v>
      </c>
      <c r="H625" s="2">
        <v>0.0</v>
      </c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3.5" customHeight="1">
      <c r="A626" s="17">
        <v>43082.083333333336</v>
      </c>
      <c r="B626" s="2" t="s">
        <v>138</v>
      </c>
      <c r="C626" s="2">
        <v>0.0</v>
      </c>
      <c r="D626" s="3" t="s">
        <v>284</v>
      </c>
      <c r="E626" s="2">
        <v>0.0</v>
      </c>
      <c r="F626" s="2" t="s">
        <v>264</v>
      </c>
      <c r="G626" s="2">
        <v>95.0</v>
      </c>
      <c r="H626" s="2">
        <v>0.0</v>
      </c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3.5" customHeight="1">
      <c r="A627" s="17">
        <v>43083.083333333336</v>
      </c>
      <c r="B627" s="2" t="s">
        <v>24</v>
      </c>
      <c r="C627" s="2">
        <v>0.0</v>
      </c>
      <c r="D627" s="3">
        <v>1027.0</v>
      </c>
      <c r="E627" s="2">
        <v>0.0</v>
      </c>
      <c r="F627" s="2" t="s">
        <v>71</v>
      </c>
      <c r="G627" s="2">
        <v>95.0</v>
      </c>
      <c r="H627" s="2">
        <v>0.0</v>
      </c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3.5" customHeight="1">
      <c r="A628" s="17">
        <v>43084.083333333336</v>
      </c>
      <c r="B628" s="2" t="s">
        <v>17</v>
      </c>
      <c r="C628" s="2">
        <v>0.0</v>
      </c>
      <c r="D628" s="3" t="s">
        <v>514</v>
      </c>
      <c r="E628" s="2">
        <v>0.0</v>
      </c>
      <c r="F628" s="2" t="s">
        <v>106</v>
      </c>
      <c r="G628" s="2">
        <v>95.0</v>
      </c>
      <c r="H628" s="2">
        <v>0.0</v>
      </c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3.5" customHeight="1">
      <c r="A629" s="17">
        <v>43085.083333333336</v>
      </c>
      <c r="B629" s="2" t="s">
        <v>137</v>
      </c>
      <c r="C629" s="2">
        <v>0.0</v>
      </c>
      <c r="D629" s="3" t="s">
        <v>280</v>
      </c>
      <c r="E629" s="2">
        <v>0.0</v>
      </c>
      <c r="F629" s="2" t="s">
        <v>66</v>
      </c>
      <c r="G629" s="2">
        <v>95.0</v>
      </c>
      <c r="H629" s="2">
        <v>0.0</v>
      </c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3.5" customHeight="1">
      <c r="A630" s="17">
        <v>43086.083333333336</v>
      </c>
      <c r="B630" s="2" t="s">
        <v>12</v>
      </c>
      <c r="C630" s="2">
        <v>0.0</v>
      </c>
      <c r="D630" s="3" t="s">
        <v>602</v>
      </c>
      <c r="E630" s="2">
        <v>0.0</v>
      </c>
      <c r="F630" s="2" t="s">
        <v>112</v>
      </c>
      <c r="G630" s="2">
        <v>95.0</v>
      </c>
      <c r="H630" s="2">
        <v>0.0</v>
      </c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3.5" customHeight="1">
      <c r="A631" s="17">
        <v>43087.083333333336</v>
      </c>
      <c r="B631" s="2" t="s">
        <v>58</v>
      </c>
      <c r="C631" s="2">
        <v>0.0</v>
      </c>
      <c r="D631" s="3" t="s">
        <v>280</v>
      </c>
      <c r="E631" s="2">
        <v>0.0</v>
      </c>
      <c r="F631" s="2" t="s">
        <v>316</v>
      </c>
      <c r="G631" s="2">
        <v>97.0</v>
      </c>
      <c r="H631" s="2">
        <v>0.0</v>
      </c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3.5" customHeight="1">
      <c r="A632" s="17">
        <v>43088.083333333336</v>
      </c>
      <c r="B632" s="2" t="s">
        <v>101</v>
      </c>
      <c r="C632" s="2">
        <v>0.0</v>
      </c>
      <c r="D632" s="3" t="s">
        <v>599</v>
      </c>
      <c r="E632" s="2">
        <v>0.0</v>
      </c>
      <c r="F632" s="2" t="s">
        <v>250</v>
      </c>
      <c r="G632" s="2">
        <v>98.0</v>
      </c>
      <c r="H632" s="2">
        <v>0.0</v>
      </c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3.5" customHeight="1">
      <c r="A633" s="17">
        <v>43089.083333333336</v>
      </c>
      <c r="B633" s="2" t="s">
        <v>101</v>
      </c>
      <c r="C633" s="2">
        <v>0.0</v>
      </c>
      <c r="D633" s="3" t="s">
        <v>518</v>
      </c>
      <c r="E633" s="2">
        <v>0.0</v>
      </c>
      <c r="F633" s="2" t="s">
        <v>152</v>
      </c>
      <c r="G633" s="2">
        <v>99.0</v>
      </c>
      <c r="H633" s="2">
        <v>0.0</v>
      </c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3.5" customHeight="1">
      <c r="A634" s="17">
        <v>43090.083333333336</v>
      </c>
      <c r="B634" s="2" t="s">
        <v>37</v>
      </c>
      <c r="C634" s="2">
        <v>0.0</v>
      </c>
      <c r="D634" s="3" t="s">
        <v>181</v>
      </c>
      <c r="E634" s="2">
        <v>0.0</v>
      </c>
      <c r="F634" s="2" t="s">
        <v>250</v>
      </c>
      <c r="G634" s="2">
        <v>99.0</v>
      </c>
      <c r="H634" s="2">
        <v>0.0</v>
      </c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3.5" customHeight="1">
      <c r="A635" s="17">
        <v>43091.083333333336</v>
      </c>
      <c r="B635" s="2" t="s">
        <v>8</v>
      </c>
      <c r="C635" s="2">
        <v>0.0</v>
      </c>
      <c r="D635" s="3" t="s">
        <v>520</v>
      </c>
      <c r="E635" s="2">
        <v>0.0</v>
      </c>
      <c r="F635" s="2" t="s">
        <v>316</v>
      </c>
      <c r="G635" s="2">
        <v>99.0</v>
      </c>
      <c r="H635" s="2">
        <v>0.0</v>
      </c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3.5" customHeight="1">
      <c r="A636" s="17">
        <v>43092.083333333336</v>
      </c>
      <c r="B636" s="2" t="s">
        <v>71</v>
      </c>
      <c r="C636" s="2">
        <v>0.0</v>
      </c>
      <c r="D636" s="3" t="s">
        <v>181</v>
      </c>
      <c r="E636" s="2" t="s">
        <v>24</v>
      </c>
      <c r="F636" s="2" t="s">
        <v>316</v>
      </c>
      <c r="G636" s="2">
        <v>99.0</v>
      </c>
      <c r="H636" s="2">
        <v>0.0</v>
      </c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3.5" customHeight="1">
      <c r="A637" s="17">
        <v>43093.083333333336</v>
      </c>
      <c r="B637" s="2" t="s">
        <v>64</v>
      </c>
      <c r="C637" s="2">
        <v>0.0</v>
      </c>
      <c r="D637" s="3" t="s">
        <v>181</v>
      </c>
      <c r="E637" s="2" t="s">
        <v>163</v>
      </c>
      <c r="F637" s="2">
        <v>0.0</v>
      </c>
      <c r="G637" s="2">
        <v>99.0</v>
      </c>
      <c r="H637" s="2">
        <v>0.0</v>
      </c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3.5" customHeight="1">
      <c r="A638" s="17">
        <v>43094.083333333336</v>
      </c>
      <c r="B638" s="2" t="s">
        <v>43</v>
      </c>
      <c r="C638" s="2">
        <v>0.0</v>
      </c>
      <c r="D638" s="3" t="s">
        <v>521</v>
      </c>
      <c r="E638" s="2" t="s">
        <v>603</v>
      </c>
      <c r="F638" s="2">
        <v>0.0</v>
      </c>
      <c r="G638" s="2">
        <v>98.0</v>
      </c>
      <c r="H638" s="2">
        <v>0.0</v>
      </c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3.5" customHeight="1">
      <c r="A639" s="17">
        <v>43095.083333333336</v>
      </c>
      <c r="B639" s="2" t="s">
        <v>24</v>
      </c>
      <c r="C639" s="2">
        <v>0.0</v>
      </c>
      <c r="D639" s="3" t="s">
        <v>289</v>
      </c>
      <c r="E639" s="2" t="s">
        <v>604</v>
      </c>
      <c r="F639" s="2">
        <v>0.0</v>
      </c>
      <c r="G639" s="2">
        <v>98.0</v>
      </c>
      <c r="H639" s="2">
        <v>0.0</v>
      </c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3.5" customHeight="1">
      <c r="A640" s="17">
        <v>43096.083333333336</v>
      </c>
      <c r="B640" s="2" t="s">
        <v>87</v>
      </c>
      <c r="C640" s="2">
        <v>0.0</v>
      </c>
      <c r="D640" s="3" t="s">
        <v>605</v>
      </c>
      <c r="E640" s="2" t="s">
        <v>436</v>
      </c>
      <c r="F640" s="2" t="s">
        <v>14</v>
      </c>
      <c r="G640" s="2">
        <v>96.0</v>
      </c>
      <c r="H640" s="2">
        <v>0.0</v>
      </c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3.5" customHeight="1">
      <c r="A641" s="17">
        <v>43097.083333333336</v>
      </c>
      <c r="B641" s="2" t="s">
        <v>8</v>
      </c>
      <c r="C641" s="2">
        <v>0.0</v>
      </c>
      <c r="D641" s="3" t="s">
        <v>271</v>
      </c>
      <c r="E641" s="2" t="s">
        <v>606</v>
      </c>
      <c r="F641" s="2" t="s">
        <v>543</v>
      </c>
      <c r="G641" s="2">
        <v>95.0</v>
      </c>
      <c r="H641" s="2">
        <v>0.0</v>
      </c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3.5" customHeight="1">
      <c r="A642" s="17">
        <v>43098.083333333336</v>
      </c>
      <c r="B642" s="2">
        <v>1.0</v>
      </c>
      <c r="C642" s="2">
        <v>0.0</v>
      </c>
      <c r="D642" s="3" t="s">
        <v>593</v>
      </c>
      <c r="E642" s="2">
        <v>0.0</v>
      </c>
      <c r="F642" s="2" t="s">
        <v>543</v>
      </c>
      <c r="G642" s="2">
        <v>95.0</v>
      </c>
      <c r="H642" s="2">
        <v>0.0</v>
      </c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3.5" customHeight="1">
      <c r="A643" s="17">
        <v>43099.083333333336</v>
      </c>
      <c r="B643" s="2" t="s">
        <v>25</v>
      </c>
      <c r="C643" s="2">
        <v>0.0</v>
      </c>
      <c r="D643" s="3" t="s">
        <v>177</v>
      </c>
      <c r="E643" s="2">
        <v>0.0</v>
      </c>
      <c r="F643" s="2" t="s">
        <v>14</v>
      </c>
      <c r="G643" s="2">
        <v>96.0</v>
      </c>
      <c r="H643" s="2">
        <v>0.0</v>
      </c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3.5" customHeight="1">
      <c r="A644" s="17">
        <v>43100.083333333336</v>
      </c>
      <c r="B644" s="2" t="s">
        <v>37</v>
      </c>
      <c r="C644" s="2">
        <v>0.0</v>
      </c>
      <c r="D644" s="3" t="s">
        <v>303</v>
      </c>
      <c r="E644" s="2">
        <v>0.0</v>
      </c>
      <c r="F644" s="2" t="s">
        <v>543</v>
      </c>
      <c r="G644" s="2">
        <v>96.0</v>
      </c>
      <c r="H644" s="2">
        <v>0.0</v>
      </c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3.5" customHeight="1">
      <c r="A645" s="17">
        <v>43101.083333333336</v>
      </c>
      <c r="B645" s="2" t="s">
        <v>87</v>
      </c>
      <c r="C645" s="2">
        <v>0.0</v>
      </c>
      <c r="D645" s="3" t="s">
        <v>304</v>
      </c>
      <c r="E645" s="2">
        <v>0.0</v>
      </c>
      <c r="F645" s="2">
        <v>0.0</v>
      </c>
      <c r="G645" s="2">
        <v>94.0</v>
      </c>
      <c r="H645" s="2">
        <v>0.0</v>
      </c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3.5" customHeight="1">
      <c r="A646" s="17">
        <v>43102.083333333336</v>
      </c>
      <c r="B646" s="2" t="s">
        <v>89</v>
      </c>
      <c r="C646" s="2">
        <v>0.0</v>
      </c>
      <c r="D646" s="3" t="s">
        <v>304</v>
      </c>
      <c r="E646" s="2">
        <v>0.0</v>
      </c>
      <c r="F646" s="2" t="s">
        <v>14</v>
      </c>
      <c r="G646" s="2">
        <v>94.0</v>
      </c>
      <c r="H646" s="2">
        <v>0.0</v>
      </c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3.5" customHeight="1">
      <c r="A647" s="17">
        <v>43103.083333333336</v>
      </c>
      <c r="B647" s="2" t="s">
        <v>29</v>
      </c>
      <c r="C647" s="2">
        <v>0.0</v>
      </c>
      <c r="D647" s="3" t="s">
        <v>465</v>
      </c>
      <c r="E647" s="2">
        <v>0.0</v>
      </c>
      <c r="F647" s="2" t="s">
        <v>14</v>
      </c>
      <c r="G647" s="2">
        <v>93.0</v>
      </c>
      <c r="H647" s="2">
        <v>0.0</v>
      </c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3.5" customHeight="1">
      <c r="A648" s="17">
        <v>43104.083333333336</v>
      </c>
      <c r="B648" s="2" t="s">
        <v>43</v>
      </c>
      <c r="C648" s="2">
        <v>0.0</v>
      </c>
      <c r="D648" s="3" t="s">
        <v>579</v>
      </c>
      <c r="E648" s="2">
        <v>0.0</v>
      </c>
      <c r="F648" s="2" t="s">
        <v>250</v>
      </c>
      <c r="G648" s="2">
        <v>96.0</v>
      </c>
      <c r="H648" s="2">
        <v>0.0</v>
      </c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3.5" customHeight="1">
      <c r="A649" s="17">
        <v>43105.083333333336</v>
      </c>
      <c r="B649" s="2">
        <v>2.0</v>
      </c>
      <c r="C649" s="2">
        <v>0.0</v>
      </c>
      <c r="D649" s="3" t="s">
        <v>305</v>
      </c>
      <c r="E649" s="2">
        <v>0.0</v>
      </c>
      <c r="F649" s="2" t="s">
        <v>541</v>
      </c>
      <c r="G649" s="2">
        <v>93.0</v>
      </c>
      <c r="H649" s="2">
        <v>0.0</v>
      </c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3.5" customHeight="1">
      <c r="A650" s="17">
        <v>43106.083333333336</v>
      </c>
      <c r="B650" s="2" t="s">
        <v>138</v>
      </c>
      <c r="C650" s="2">
        <v>0.0</v>
      </c>
      <c r="D650" s="3" t="s">
        <v>579</v>
      </c>
      <c r="E650" s="2">
        <v>0.0</v>
      </c>
      <c r="F650" s="2" t="s">
        <v>152</v>
      </c>
      <c r="G650" s="2">
        <v>93.0</v>
      </c>
      <c r="H650" s="2">
        <v>0.0</v>
      </c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3.5" customHeight="1">
      <c r="A651" s="17">
        <v>43107.083333333336</v>
      </c>
      <c r="B651" s="2" t="s">
        <v>87</v>
      </c>
      <c r="C651" s="2">
        <v>0.0</v>
      </c>
      <c r="D651" s="3">
        <v>1021.0</v>
      </c>
      <c r="E651" s="2">
        <v>0.0</v>
      </c>
      <c r="F651" s="2" t="s">
        <v>152</v>
      </c>
      <c r="G651" s="2">
        <v>93.0</v>
      </c>
      <c r="H651" s="2">
        <v>0.0</v>
      </c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3.5" customHeight="1">
      <c r="A652" s="17">
        <v>43108.083333333336</v>
      </c>
      <c r="B652" s="2" t="s">
        <v>89</v>
      </c>
      <c r="C652" s="2">
        <v>0.0</v>
      </c>
      <c r="D652" s="3" t="s">
        <v>559</v>
      </c>
      <c r="E652" s="2">
        <v>0.0</v>
      </c>
      <c r="F652" s="2" t="s">
        <v>541</v>
      </c>
      <c r="G652" s="2">
        <v>94.0</v>
      </c>
      <c r="H652" s="2">
        <v>0.0</v>
      </c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3.5" customHeight="1">
      <c r="A653" s="17">
        <v>43109.083333333336</v>
      </c>
      <c r="B653" s="2" t="s">
        <v>138</v>
      </c>
      <c r="C653" s="2">
        <v>0.0</v>
      </c>
      <c r="D653" s="3" t="s">
        <v>305</v>
      </c>
      <c r="E653" s="2">
        <v>0.0</v>
      </c>
      <c r="F653" s="2" t="s">
        <v>541</v>
      </c>
      <c r="G653" s="2">
        <v>94.0</v>
      </c>
      <c r="H653" s="2">
        <v>0.0</v>
      </c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3.5" customHeight="1">
      <c r="A654" s="17">
        <v>43110.083333333336</v>
      </c>
      <c r="B654" s="2" t="s">
        <v>43</v>
      </c>
      <c r="C654" s="2">
        <v>0.0</v>
      </c>
      <c r="D654" s="3" t="s">
        <v>175</v>
      </c>
      <c r="E654" s="2">
        <v>0.0</v>
      </c>
      <c r="F654" s="2" t="s">
        <v>541</v>
      </c>
      <c r="G654" s="2">
        <v>94.0</v>
      </c>
      <c r="H654" s="2">
        <v>0.0</v>
      </c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3.5" customHeight="1">
      <c r="A655" s="17">
        <v>43111.083333333336</v>
      </c>
      <c r="B655" s="2" t="s">
        <v>64</v>
      </c>
      <c r="C655" s="2">
        <v>0.0</v>
      </c>
      <c r="D655" s="3" t="s">
        <v>561</v>
      </c>
      <c r="E655" s="2">
        <v>0.0</v>
      </c>
      <c r="F655" s="2" t="s">
        <v>250</v>
      </c>
      <c r="G655" s="2">
        <v>93.0</v>
      </c>
      <c r="H655" s="2">
        <v>0.0</v>
      </c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3.5" customHeight="1">
      <c r="A656" s="17">
        <v>43112.083333333336</v>
      </c>
      <c r="B656" s="2" t="s">
        <v>89</v>
      </c>
      <c r="C656" s="2">
        <v>0.0</v>
      </c>
      <c r="D656" s="3" t="s">
        <v>578</v>
      </c>
      <c r="E656" s="2">
        <v>0.0</v>
      </c>
      <c r="F656" s="2" t="s">
        <v>250</v>
      </c>
      <c r="G656" s="2">
        <v>91.0</v>
      </c>
      <c r="H656" s="2">
        <v>0.0</v>
      </c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3.5" customHeight="1">
      <c r="A657" s="17">
        <v>43113.083333333336</v>
      </c>
      <c r="B657" s="2" t="s">
        <v>87</v>
      </c>
      <c r="C657" s="2">
        <v>0.0</v>
      </c>
      <c r="D657" s="3" t="s">
        <v>559</v>
      </c>
      <c r="E657" s="2">
        <v>0.0</v>
      </c>
      <c r="F657" s="2" t="s">
        <v>250</v>
      </c>
      <c r="G657" s="2">
        <v>90.0</v>
      </c>
      <c r="H657" s="2">
        <v>0.0</v>
      </c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3.5" customHeight="1">
      <c r="A658" s="17">
        <v>43114.083333333336</v>
      </c>
      <c r="B658" s="2" t="s">
        <v>29</v>
      </c>
      <c r="C658" s="2">
        <v>0.0</v>
      </c>
      <c r="D658" s="3">
        <v>1021.0</v>
      </c>
      <c r="E658" s="2">
        <v>0.0</v>
      </c>
      <c r="F658" s="2" t="s">
        <v>543</v>
      </c>
      <c r="G658" s="2">
        <v>88.0</v>
      </c>
      <c r="H658" s="2">
        <v>0.0</v>
      </c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3.5" customHeight="1">
      <c r="A659" s="17">
        <v>43115.083333333336</v>
      </c>
      <c r="B659" s="2" t="s">
        <v>71</v>
      </c>
      <c r="C659" s="2">
        <v>0.0</v>
      </c>
      <c r="D659" s="3">
        <v>1021.0</v>
      </c>
      <c r="E659" s="2">
        <v>0.0</v>
      </c>
      <c r="F659" s="2" t="s">
        <v>543</v>
      </c>
      <c r="G659" s="2">
        <v>87.0</v>
      </c>
      <c r="H659" s="2">
        <v>0.0</v>
      </c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3.5" customHeight="1">
      <c r="A660" s="17">
        <v>43116.083333333336</v>
      </c>
      <c r="B660" s="2" t="s">
        <v>43</v>
      </c>
      <c r="C660" s="2">
        <v>0.0</v>
      </c>
      <c r="D660" s="3" t="s">
        <v>253</v>
      </c>
      <c r="E660" s="2" t="s">
        <v>607</v>
      </c>
      <c r="F660" s="2" t="s">
        <v>14</v>
      </c>
      <c r="G660" s="2">
        <v>87.0</v>
      </c>
      <c r="H660" s="2">
        <v>0.0</v>
      </c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3.5" customHeight="1">
      <c r="A661" s="17">
        <v>43117.083333333336</v>
      </c>
      <c r="B661" s="2" t="s">
        <v>87</v>
      </c>
      <c r="C661" s="2">
        <v>0.0</v>
      </c>
      <c r="D661" s="3" t="s">
        <v>301</v>
      </c>
      <c r="E661" s="2" t="s">
        <v>440</v>
      </c>
      <c r="F661" s="2" t="s">
        <v>10</v>
      </c>
      <c r="G661" s="2">
        <v>87.0</v>
      </c>
      <c r="H661" s="2">
        <v>2143333.0</v>
      </c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3.5" customHeight="1">
      <c r="A662" s="17">
        <v>43118.083333333336</v>
      </c>
      <c r="B662" s="2" t="s">
        <v>12</v>
      </c>
      <c r="C662" s="2">
        <v>0.0</v>
      </c>
      <c r="D662" s="3" t="s">
        <v>253</v>
      </c>
      <c r="E662" s="2" t="s">
        <v>608</v>
      </c>
      <c r="F662" s="2">
        <v>0.0</v>
      </c>
      <c r="G662" s="2">
        <v>89.0</v>
      </c>
      <c r="H662" s="2">
        <v>387.0</v>
      </c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3.5" customHeight="1">
      <c r="A663" s="17">
        <v>43119.083333333336</v>
      </c>
      <c r="B663" s="2">
        <v>1.0</v>
      </c>
      <c r="C663" s="2">
        <v>0.0</v>
      </c>
      <c r="D663" s="3" t="s">
        <v>305</v>
      </c>
      <c r="E663" s="2" t="s">
        <v>609</v>
      </c>
      <c r="F663" s="2" t="s">
        <v>10</v>
      </c>
      <c r="G663" s="2">
        <v>87.0</v>
      </c>
      <c r="H663" s="2">
        <v>2235001.0</v>
      </c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3.5" customHeight="1">
      <c r="A664" s="17">
        <v>43120.083333333336</v>
      </c>
      <c r="B664" s="2" t="s">
        <v>25</v>
      </c>
      <c r="C664" s="2">
        <v>0.0</v>
      </c>
      <c r="D664" s="3" t="s">
        <v>559</v>
      </c>
      <c r="E664" s="2" t="s">
        <v>610</v>
      </c>
      <c r="F664" s="2" t="s">
        <v>10</v>
      </c>
      <c r="G664" s="2">
        <v>87.0</v>
      </c>
      <c r="H664" s="2">
        <v>145.0</v>
      </c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3.5" customHeight="1">
      <c r="A665" s="17">
        <v>43121.083333333336</v>
      </c>
      <c r="B665" s="2" t="s">
        <v>40</v>
      </c>
      <c r="C665" s="2">
        <v>0.0</v>
      </c>
      <c r="D665" s="3" t="s">
        <v>560</v>
      </c>
      <c r="E665" s="2" t="s">
        <v>611</v>
      </c>
      <c r="F665" s="2" t="s">
        <v>10</v>
      </c>
      <c r="G665" s="2">
        <v>87.0</v>
      </c>
      <c r="H665" s="2">
        <v>386667.0</v>
      </c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3.5" customHeight="1">
      <c r="A666" s="17">
        <v>43122.083333333336</v>
      </c>
      <c r="B666" s="2" t="s">
        <v>29</v>
      </c>
      <c r="C666" s="2">
        <v>0.0</v>
      </c>
      <c r="D666" s="3" t="s">
        <v>578</v>
      </c>
      <c r="E666" s="2" t="s">
        <v>45</v>
      </c>
      <c r="F666" s="2">
        <v>0.0</v>
      </c>
      <c r="G666" s="2">
        <v>88.0</v>
      </c>
      <c r="H666" s="2">
        <v>0.0</v>
      </c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3.5" customHeight="1">
      <c r="A667" s="17">
        <v>43123.083333333336</v>
      </c>
      <c r="B667" s="2" t="s">
        <v>8</v>
      </c>
      <c r="C667" s="2">
        <v>0.0</v>
      </c>
      <c r="D667" s="3" t="s">
        <v>255</v>
      </c>
      <c r="E667" s="2">
        <v>0.0</v>
      </c>
      <c r="F667" s="2" t="s">
        <v>10</v>
      </c>
      <c r="G667" s="2">
        <v>86.0</v>
      </c>
      <c r="H667" s="2">
        <v>0.0</v>
      </c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3.5" customHeight="1">
      <c r="A668" s="17">
        <v>43124.083333333336</v>
      </c>
      <c r="B668" s="2" t="s">
        <v>28</v>
      </c>
      <c r="C668" s="2">
        <v>0.0</v>
      </c>
      <c r="D668" s="3" t="s">
        <v>562</v>
      </c>
      <c r="E668" s="2">
        <v>0.0</v>
      </c>
      <c r="F668" s="2" t="s">
        <v>112</v>
      </c>
      <c r="G668" s="2">
        <v>86.0</v>
      </c>
      <c r="H668" s="2">
        <v>0.0</v>
      </c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3.5" customHeight="1">
      <c r="A669" s="17">
        <v>43125.083333333336</v>
      </c>
      <c r="B669" s="2" t="s">
        <v>106</v>
      </c>
      <c r="C669" s="2">
        <v>0.0</v>
      </c>
      <c r="D669" s="3" t="s">
        <v>256</v>
      </c>
      <c r="E669" s="2">
        <v>0.0</v>
      </c>
      <c r="F669" s="2" t="s">
        <v>86</v>
      </c>
      <c r="G669" s="2">
        <v>90.0</v>
      </c>
      <c r="H669" s="2">
        <v>0.0</v>
      </c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3.5" customHeight="1">
      <c r="A670" s="17">
        <v>43126.083333333336</v>
      </c>
      <c r="B670" s="2" t="s">
        <v>87</v>
      </c>
      <c r="C670" s="2">
        <v>0.0</v>
      </c>
      <c r="D670" s="3" t="s">
        <v>563</v>
      </c>
      <c r="E670" s="2">
        <v>0.0</v>
      </c>
      <c r="F670" s="2" t="s">
        <v>86</v>
      </c>
      <c r="G670" s="2">
        <v>91.0</v>
      </c>
      <c r="H670" s="2">
        <v>0.0</v>
      </c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3.5" customHeight="1">
      <c r="A671" s="17">
        <v>43127.083333333336</v>
      </c>
      <c r="B671" s="2" t="s">
        <v>25</v>
      </c>
      <c r="C671" s="2">
        <v>0.0</v>
      </c>
      <c r="D671" s="3" t="s">
        <v>576</v>
      </c>
      <c r="E671" s="2">
        <v>0.0</v>
      </c>
      <c r="F671" s="2" t="s">
        <v>86</v>
      </c>
      <c r="G671" s="2">
        <v>93.0</v>
      </c>
      <c r="H671" s="2">
        <v>0.0</v>
      </c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3.5" customHeight="1">
      <c r="A672" s="17">
        <v>43128.083333333336</v>
      </c>
      <c r="B672" s="2" t="s">
        <v>25</v>
      </c>
      <c r="C672" s="2">
        <v>0.0</v>
      </c>
      <c r="D672" s="3" t="s">
        <v>612</v>
      </c>
      <c r="E672" s="2">
        <v>0.0</v>
      </c>
      <c r="F672" s="2" t="s">
        <v>86</v>
      </c>
      <c r="G672" s="2">
        <v>93.0</v>
      </c>
      <c r="H672" s="2">
        <v>0.0</v>
      </c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3.5" customHeight="1">
      <c r="A673" s="17">
        <v>43129.083333333336</v>
      </c>
      <c r="B673" s="2" t="s">
        <v>264</v>
      </c>
      <c r="C673" s="2">
        <v>0.0</v>
      </c>
      <c r="D673" s="3" t="s">
        <v>613</v>
      </c>
      <c r="E673" s="2">
        <v>0.0</v>
      </c>
      <c r="F673" s="2" t="s">
        <v>28</v>
      </c>
      <c r="G673" s="2">
        <v>93.0</v>
      </c>
      <c r="H673" s="2">
        <v>0.0</v>
      </c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3.5" customHeight="1">
      <c r="A674" s="17">
        <v>43130.083333333336</v>
      </c>
      <c r="B674" s="2" t="s">
        <v>17</v>
      </c>
      <c r="C674" s="2">
        <v>0.0</v>
      </c>
      <c r="D674" s="3" t="s">
        <v>461</v>
      </c>
      <c r="E674" s="2">
        <v>0.0</v>
      </c>
      <c r="F674" s="2" t="s">
        <v>28</v>
      </c>
      <c r="G674" s="2">
        <v>91.0</v>
      </c>
      <c r="H674" s="2">
        <v>0.0</v>
      </c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3.5" customHeight="1">
      <c r="A675" s="17">
        <v>43131.083333333336</v>
      </c>
      <c r="B675" s="2" t="s">
        <v>12</v>
      </c>
      <c r="C675" s="2">
        <v>0.0</v>
      </c>
      <c r="D675" s="3" t="s">
        <v>260</v>
      </c>
      <c r="E675" s="2">
        <v>0.0</v>
      </c>
      <c r="F675" s="2" t="s">
        <v>86</v>
      </c>
      <c r="G675" s="2">
        <v>92.0</v>
      </c>
      <c r="H675" s="2">
        <v>0.0</v>
      </c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3.5" customHeight="1">
      <c r="A676" s="17">
        <v>43132.083333333336</v>
      </c>
      <c r="B676" s="2" t="s">
        <v>12</v>
      </c>
      <c r="C676" s="2">
        <v>0.0</v>
      </c>
      <c r="D676" s="3" t="s">
        <v>261</v>
      </c>
      <c r="E676" s="2">
        <v>0.0</v>
      </c>
      <c r="F676" s="2">
        <v>0.0</v>
      </c>
      <c r="G676" s="2">
        <v>92.0</v>
      </c>
      <c r="H676" s="2">
        <v>0.0</v>
      </c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3.5" customHeight="1">
      <c r="A677" s="17">
        <v>43133.083333333336</v>
      </c>
      <c r="B677" s="2" t="s">
        <v>43</v>
      </c>
      <c r="C677" s="2">
        <v>0.0</v>
      </c>
      <c r="D677" s="3" t="s">
        <v>614</v>
      </c>
      <c r="E677" s="2">
        <v>0.0</v>
      </c>
      <c r="F677" s="2" t="s">
        <v>14</v>
      </c>
      <c r="G677" s="2">
        <v>92.0</v>
      </c>
      <c r="H677" s="2">
        <v>0.0</v>
      </c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3.5" customHeight="1">
      <c r="A678" s="17">
        <v>43134.083333333336</v>
      </c>
      <c r="B678" s="2" t="s">
        <v>12</v>
      </c>
      <c r="C678" s="2">
        <v>0.0</v>
      </c>
      <c r="D678" s="3" t="s">
        <v>170</v>
      </c>
      <c r="E678" s="2">
        <v>0.0</v>
      </c>
      <c r="F678" s="2" t="s">
        <v>250</v>
      </c>
      <c r="G678" s="2">
        <v>92.0</v>
      </c>
      <c r="H678" s="2">
        <v>0.0</v>
      </c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3.5" customHeight="1">
      <c r="A679" s="17">
        <v>43135.083333333336</v>
      </c>
      <c r="B679" s="2" t="s">
        <v>101</v>
      </c>
      <c r="C679" s="2">
        <v>0.0</v>
      </c>
      <c r="D679" s="3" t="s">
        <v>615</v>
      </c>
      <c r="E679" s="2">
        <v>0.0</v>
      </c>
      <c r="F679" s="2" t="s">
        <v>541</v>
      </c>
      <c r="G679" s="2">
        <v>92.0</v>
      </c>
      <c r="H679" s="2">
        <v>0.0</v>
      </c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3.5" customHeight="1">
      <c r="A680" s="17">
        <v>43136.083333333336</v>
      </c>
      <c r="B680" s="2" t="s">
        <v>183</v>
      </c>
      <c r="C680" s="2">
        <v>0.0</v>
      </c>
      <c r="D680" s="3" t="s">
        <v>69</v>
      </c>
      <c r="E680" s="2">
        <v>0.0</v>
      </c>
      <c r="F680" s="2" t="s">
        <v>127</v>
      </c>
      <c r="G680" s="2">
        <v>93.0</v>
      </c>
      <c r="H680" s="2">
        <v>0.0</v>
      </c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3.5" customHeight="1">
      <c r="A681" s="17">
        <v>43137.083333333336</v>
      </c>
      <c r="B681" s="2" t="s">
        <v>60</v>
      </c>
      <c r="C681" s="2">
        <v>0.0</v>
      </c>
      <c r="D681" s="3" t="s">
        <v>62</v>
      </c>
      <c r="E681" s="2">
        <v>0.0</v>
      </c>
      <c r="F681" s="2">
        <v>-1.0</v>
      </c>
      <c r="G681" s="2">
        <v>91.0</v>
      </c>
      <c r="H681" s="2">
        <v>0.0</v>
      </c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3.5" customHeight="1">
      <c r="A682" s="17">
        <v>43138.083333333336</v>
      </c>
      <c r="B682" s="2" t="s">
        <v>25</v>
      </c>
      <c r="C682" s="2">
        <v>0.0</v>
      </c>
      <c r="D682" s="3" t="s">
        <v>77</v>
      </c>
      <c r="E682" s="2">
        <v>0.0</v>
      </c>
      <c r="F682" s="2" t="s">
        <v>145</v>
      </c>
      <c r="G682" s="2">
        <v>90.0</v>
      </c>
      <c r="H682" s="2">
        <v>0.0</v>
      </c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3.5" customHeight="1">
      <c r="A683" s="17">
        <v>43139.083333333336</v>
      </c>
      <c r="B683" s="2" t="s">
        <v>22</v>
      </c>
      <c r="C683" s="2">
        <v>0.0</v>
      </c>
      <c r="D683" s="3">
        <v>1012.0</v>
      </c>
      <c r="E683" s="2">
        <v>0.0</v>
      </c>
      <c r="F683" s="2" t="s">
        <v>16</v>
      </c>
      <c r="G683" s="2">
        <v>91.0</v>
      </c>
      <c r="H683" s="2">
        <v>0.0</v>
      </c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3.5" customHeight="1">
      <c r="A684" s="17">
        <v>43140.083333333336</v>
      </c>
      <c r="B684" s="2" t="s">
        <v>61</v>
      </c>
      <c r="C684" s="2">
        <v>0.0</v>
      </c>
      <c r="D684" s="3" t="s">
        <v>92</v>
      </c>
      <c r="E684" s="2">
        <v>0.0</v>
      </c>
      <c r="F684" s="2" t="s">
        <v>523</v>
      </c>
      <c r="G684" s="2">
        <v>91.0</v>
      </c>
      <c r="H684" s="2">
        <v>0.0</v>
      </c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3.5" customHeight="1">
      <c r="A685" s="17">
        <v>43141.083333333336</v>
      </c>
      <c r="B685" s="2" t="s">
        <v>60</v>
      </c>
      <c r="C685" s="2">
        <v>0.0</v>
      </c>
      <c r="D685" s="3">
        <v>1011.0</v>
      </c>
      <c r="E685" s="2" t="s">
        <v>173</v>
      </c>
      <c r="F685" s="2" t="s">
        <v>19</v>
      </c>
      <c r="G685" s="2">
        <v>91.0</v>
      </c>
      <c r="H685" s="2">
        <v>0.0</v>
      </c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3.5" customHeight="1">
      <c r="A686" s="17">
        <v>43142.083333333336</v>
      </c>
      <c r="B686" s="2" t="s">
        <v>64</v>
      </c>
      <c r="C686" s="2">
        <v>0.0</v>
      </c>
      <c r="D686" s="3" t="s">
        <v>453</v>
      </c>
      <c r="E686" s="2">
        <v>12.0</v>
      </c>
      <c r="F686" s="2" t="s">
        <v>124</v>
      </c>
      <c r="G686" s="2">
        <v>93.0</v>
      </c>
      <c r="H686" s="2">
        <v>0.0</v>
      </c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3.5" customHeight="1">
      <c r="A687" s="17">
        <v>43143.083333333336</v>
      </c>
      <c r="B687" s="2" t="s">
        <v>89</v>
      </c>
      <c r="C687" s="2">
        <v>0.0</v>
      </c>
      <c r="D687" s="3">
        <v>1010.0</v>
      </c>
      <c r="E687" s="2" t="s">
        <v>616</v>
      </c>
      <c r="F687" s="2" t="s">
        <v>124</v>
      </c>
      <c r="G687" s="2">
        <v>94.0</v>
      </c>
      <c r="H687" s="2">
        <v>0.0</v>
      </c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3.5" customHeight="1">
      <c r="A688" s="17">
        <v>43144.083333333336</v>
      </c>
      <c r="B688" s="2" t="s">
        <v>29</v>
      </c>
      <c r="C688" s="2">
        <v>0.0</v>
      </c>
      <c r="D688" s="3" t="s">
        <v>617</v>
      </c>
      <c r="E688" s="2">
        <v>35.0</v>
      </c>
      <c r="F688" s="2" t="s">
        <v>16</v>
      </c>
      <c r="G688" s="2">
        <v>92.0</v>
      </c>
      <c r="H688" s="2">
        <v>0.0</v>
      </c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3.5" customHeight="1">
      <c r="A689" s="17">
        <v>43145.083333333336</v>
      </c>
      <c r="B689" s="2" t="s">
        <v>24</v>
      </c>
      <c r="C689" s="2">
        <v>0.0</v>
      </c>
      <c r="D689" s="3">
        <v>1009.0</v>
      </c>
      <c r="E689" s="2" t="s">
        <v>618</v>
      </c>
      <c r="F689" s="2" t="s">
        <v>145</v>
      </c>
      <c r="G689" s="2">
        <v>90.0</v>
      </c>
      <c r="H689" s="2">
        <v>0.0</v>
      </c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3.5" customHeight="1">
      <c r="A690" s="17">
        <v>43146.083333333336</v>
      </c>
      <c r="B690" s="2" t="s">
        <v>106</v>
      </c>
      <c r="C690" s="2">
        <v>0.0</v>
      </c>
      <c r="D690" s="3" t="s">
        <v>619</v>
      </c>
      <c r="E690" s="2">
        <v>0.0</v>
      </c>
      <c r="F690" s="2" t="s">
        <v>31</v>
      </c>
      <c r="G690" s="2">
        <v>90.0</v>
      </c>
      <c r="H690" s="2">
        <v>0.0</v>
      </c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3.5" customHeight="1">
      <c r="A691" s="17">
        <v>43147.083333333336</v>
      </c>
      <c r="B691" s="2" t="s">
        <v>29</v>
      </c>
      <c r="C691" s="2">
        <v>0.0</v>
      </c>
      <c r="D691" s="3" t="s">
        <v>620</v>
      </c>
      <c r="E691" s="2">
        <v>0.0</v>
      </c>
      <c r="F691" s="2" t="s">
        <v>143</v>
      </c>
      <c r="G691" s="2">
        <v>94.0</v>
      </c>
      <c r="H691" s="2">
        <v>0.0</v>
      </c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3.5" customHeight="1">
      <c r="A692" s="17">
        <v>43148.083333333336</v>
      </c>
      <c r="B692" s="2" t="s">
        <v>138</v>
      </c>
      <c r="C692" s="2">
        <v>0.0</v>
      </c>
      <c r="D692" s="3" t="s">
        <v>621</v>
      </c>
      <c r="E692" s="2">
        <v>0.0</v>
      </c>
      <c r="F692" s="2" t="s">
        <v>143</v>
      </c>
      <c r="G692" s="2">
        <v>96.0</v>
      </c>
      <c r="H692" s="2">
        <v>0.0</v>
      </c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3.5" customHeight="1">
      <c r="A693" s="17">
        <v>43149.083333333336</v>
      </c>
      <c r="B693" s="2" t="s">
        <v>37</v>
      </c>
      <c r="C693" s="2">
        <v>0.0</v>
      </c>
      <c r="D693" s="3" t="s">
        <v>46</v>
      </c>
      <c r="E693" s="2">
        <v>0.0</v>
      </c>
      <c r="F693" s="2" t="s">
        <v>10</v>
      </c>
      <c r="G693" s="2">
        <v>97.0</v>
      </c>
      <c r="H693" s="2">
        <v>0.0</v>
      </c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3.5" customHeight="1">
      <c r="A694" s="17">
        <v>43150.083333333336</v>
      </c>
      <c r="B694" s="2" t="s">
        <v>138</v>
      </c>
      <c r="C694" s="2">
        <v>0.0</v>
      </c>
      <c r="D694" s="3" t="s">
        <v>447</v>
      </c>
      <c r="E694" s="2">
        <v>0.0</v>
      </c>
      <c r="F694" s="2">
        <v>1.0</v>
      </c>
      <c r="G694" s="2">
        <v>98.0</v>
      </c>
      <c r="H694" s="2">
        <v>0.0</v>
      </c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3.5" customHeight="1">
      <c r="A695" s="17">
        <v>43151.083333333336</v>
      </c>
      <c r="B695" s="2">
        <v>1.0</v>
      </c>
      <c r="C695" s="2">
        <v>0.0</v>
      </c>
      <c r="D695" s="3" t="s">
        <v>622</v>
      </c>
      <c r="E695" s="2">
        <v>0.0</v>
      </c>
      <c r="F695" s="2">
        <v>1.0</v>
      </c>
      <c r="G695" s="2">
        <v>97.0</v>
      </c>
      <c r="H695" s="2">
        <v>0.0</v>
      </c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3.5" customHeight="1">
      <c r="A696" s="17">
        <v>43152.083333333336</v>
      </c>
      <c r="B696" s="2" t="s">
        <v>17</v>
      </c>
      <c r="C696" s="2">
        <v>0.0</v>
      </c>
      <c r="D696" s="3" t="s">
        <v>622</v>
      </c>
      <c r="E696" s="2">
        <v>0.0</v>
      </c>
      <c r="F696" s="2" t="s">
        <v>101</v>
      </c>
      <c r="G696" s="2">
        <v>96.0</v>
      </c>
      <c r="H696" s="2">
        <v>0.0</v>
      </c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3.5" customHeight="1">
      <c r="A697" s="17">
        <v>43153.083333333336</v>
      </c>
      <c r="B697" s="2" t="s">
        <v>61</v>
      </c>
      <c r="C697" s="2">
        <v>0.0</v>
      </c>
      <c r="D697" s="3" t="s">
        <v>623</v>
      </c>
      <c r="E697" s="2">
        <v>0.0</v>
      </c>
      <c r="F697" s="2" t="s">
        <v>58</v>
      </c>
      <c r="G697" s="2">
        <v>95.0</v>
      </c>
      <c r="H697" s="2">
        <v>0.0</v>
      </c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3.5" customHeight="1">
      <c r="A698" s="17">
        <v>43154.083333333336</v>
      </c>
      <c r="B698" s="2" t="s">
        <v>52</v>
      </c>
      <c r="C698" s="2">
        <v>0.0</v>
      </c>
      <c r="D698" s="3" t="s">
        <v>624</v>
      </c>
      <c r="E698" s="2">
        <v>0.0</v>
      </c>
      <c r="F698" s="2" t="s">
        <v>137</v>
      </c>
      <c r="G698" s="2">
        <v>90.0</v>
      </c>
      <c r="H698" s="2">
        <v>0.0</v>
      </c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3.5" customHeight="1">
      <c r="A699" s="17">
        <v>43155.083333333336</v>
      </c>
      <c r="B699" s="2" t="s">
        <v>87</v>
      </c>
      <c r="C699" s="2">
        <v>0.0</v>
      </c>
      <c r="D699" s="3" t="s">
        <v>448</v>
      </c>
      <c r="E699" s="2">
        <v>0.0</v>
      </c>
      <c r="F699" s="2" t="s">
        <v>45</v>
      </c>
      <c r="G699" s="2">
        <v>91.0</v>
      </c>
      <c r="H699" s="2">
        <v>0.0</v>
      </c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3.5" customHeight="1">
      <c r="A700" s="17">
        <v>43156.083333333336</v>
      </c>
      <c r="B700" s="2" t="s">
        <v>50</v>
      </c>
      <c r="C700" s="2">
        <v>0.0</v>
      </c>
      <c r="D700" s="3" t="s">
        <v>47</v>
      </c>
      <c r="E700" s="2">
        <v>0.0</v>
      </c>
      <c r="F700" s="2" t="s">
        <v>64</v>
      </c>
      <c r="G700" s="2">
        <v>91.0</v>
      </c>
      <c r="H700" s="2">
        <v>0.0</v>
      </c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3.5" customHeight="1">
      <c r="A701" s="17">
        <v>43157.083333333336</v>
      </c>
      <c r="B701" s="2">
        <v>3.0</v>
      </c>
      <c r="C701" s="2">
        <v>0.0</v>
      </c>
      <c r="D701" s="3" t="s">
        <v>620</v>
      </c>
      <c r="E701" s="2">
        <v>0.0</v>
      </c>
      <c r="F701" s="2" t="s">
        <v>89</v>
      </c>
      <c r="G701" s="2">
        <v>92.0</v>
      </c>
      <c r="H701" s="2">
        <v>0.0</v>
      </c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3.5" customHeight="1">
      <c r="A702" s="17">
        <v>43158.083333333336</v>
      </c>
      <c r="B702" s="2" t="s">
        <v>12</v>
      </c>
      <c r="C702" s="2">
        <v>0.0</v>
      </c>
      <c r="D702" s="3" t="s">
        <v>619</v>
      </c>
      <c r="E702" s="2">
        <v>0.0</v>
      </c>
      <c r="F702" s="2" t="s">
        <v>138</v>
      </c>
      <c r="G702" s="2">
        <v>93.0</v>
      </c>
      <c r="H702" s="2">
        <v>0.0</v>
      </c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3.5" customHeight="1">
      <c r="A703" s="17">
        <v>43159.083333333336</v>
      </c>
      <c r="B703" s="2" t="s">
        <v>29</v>
      </c>
      <c r="C703" s="2">
        <v>0.0</v>
      </c>
      <c r="D703" s="3" t="s">
        <v>625</v>
      </c>
      <c r="E703" s="2">
        <v>0.0</v>
      </c>
      <c r="F703" s="2" t="s">
        <v>89</v>
      </c>
      <c r="G703" s="2">
        <v>93.0</v>
      </c>
      <c r="H703" s="2">
        <v>0.0</v>
      </c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3.5" customHeight="1">
      <c r="A704" s="17">
        <v>43160.083333333336</v>
      </c>
      <c r="B704" s="2" t="s">
        <v>264</v>
      </c>
      <c r="C704" s="2">
        <v>0.0</v>
      </c>
      <c r="D704" s="3" t="s">
        <v>617</v>
      </c>
      <c r="E704" s="2">
        <v>0.0</v>
      </c>
      <c r="F704" s="2" t="s">
        <v>101</v>
      </c>
      <c r="G704" s="2">
        <v>94.0</v>
      </c>
      <c r="H704" s="2">
        <v>0.0</v>
      </c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3.5" customHeight="1">
      <c r="A705" s="17">
        <v>43161.083333333336</v>
      </c>
      <c r="B705" s="2" t="s">
        <v>25</v>
      </c>
      <c r="C705" s="2">
        <v>0.0</v>
      </c>
      <c r="D705" s="3" t="s">
        <v>453</v>
      </c>
      <c r="E705" s="2">
        <v>0.0</v>
      </c>
      <c r="F705" s="2" t="s">
        <v>43</v>
      </c>
      <c r="G705" s="2">
        <v>95.0</v>
      </c>
      <c r="H705" s="2">
        <v>0.0</v>
      </c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3.5" customHeight="1">
      <c r="A706" s="17">
        <v>43162.083333333336</v>
      </c>
      <c r="B706" s="2" t="s">
        <v>43</v>
      </c>
      <c r="C706" s="2">
        <v>0.0</v>
      </c>
      <c r="D706" s="3" t="s">
        <v>57</v>
      </c>
      <c r="E706" s="2">
        <v>0.0</v>
      </c>
      <c r="F706" s="2" t="s">
        <v>138</v>
      </c>
      <c r="G706" s="2">
        <v>91.0</v>
      </c>
      <c r="H706" s="2">
        <v>0.0</v>
      </c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3.5" customHeight="1">
      <c r="A707" s="17">
        <v>43163.083333333336</v>
      </c>
      <c r="B707" s="2" t="s">
        <v>60</v>
      </c>
      <c r="C707" s="2">
        <v>0.0</v>
      </c>
      <c r="D707" s="3" t="s">
        <v>77</v>
      </c>
      <c r="E707" s="2">
        <v>0.0</v>
      </c>
      <c r="F707" s="2" t="s">
        <v>89</v>
      </c>
      <c r="G707" s="2">
        <v>84.0</v>
      </c>
      <c r="H707" s="2">
        <v>0.0</v>
      </c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3.5" customHeight="1">
      <c r="A708" s="17">
        <v>43164.083333333336</v>
      </c>
      <c r="B708" s="2" t="s">
        <v>106</v>
      </c>
      <c r="C708" s="2">
        <v>0.0</v>
      </c>
      <c r="D708" s="3" t="s">
        <v>69</v>
      </c>
      <c r="E708" s="2" t="s">
        <v>302</v>
      </c>
      <c r="F708" s="2" t="s">
        <v>17</v>
      </c>
      <c r="G708" s="2">
        <v>83.0</v>
      </c>
      <c r="H708" s="2">
        <v>0.0</v>
      </c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3.5" customHeight="1">
      <c r="A709" s="17">
        <v>43165.083333333336</v>
      </c>
      <c r="B709" s="2" t="s">
        <v>8</v>
      </c>
      <c r="C709" s="2">
        <v>0.0</v>
      </c>
      <c r="D709" s="3" t="s">
        <v>454</v>
      </c>
      <c r="E709" s="2" t="s">
        <v>626</v>
      </c>
      <c r="F709" s="2" t="s">
        <v>64</v>
      </c>
      <c r="G709" s="2">
        <v>79.0</v>
      </c>
      <c r="H709" s="2">
        <v>1161667.0</v>
      </c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3.5" customHeight="1">
      <c r="A710" s="17">
        <v>43166.083333333336</v>
      </c>
      <c r="B710" s="2" t="s">
        <v>106</v>
      </c>
      <c r="C710" s="2">
        <v>0.0</v>
      </c>
      <c r="D710" s="3" t="s">
        <v>627</v>
      </c>
      <c r="E710" s="2" t="s">
        <v>628</v>
      </c>
      <c r="F710" s="2" t="s">
        <v>138</v>
      </c>
      <c r="G710" s="2">
        <v>90.0</v>
      </c>
      <c r="H710" s="2">
        <v>342.0</v>
      </c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3.5" customHeight="1">
      <c r="A711" s="17">
        <v>43167.083333333336</v>
      </c>
      <c r="B711" s="2" t="s">
        <v>12</v>
      </c>
      <c r="C711" s="2">
        <v>0.0</v>
      </c>
      <c r="D711" s="3" t="s">
        <v>629</v>
      </c>
      <c r="E711" s="2" t="s">
        <v>630</v>
      </c>
      <c r="F711" s="2" t="s">
        <v>138</v>
      </c>
      <c r="G711" s="2">
        <v>89.0</v>
      </c>
      <c r="H711" s="2">
        <v>320.0</v>
      </c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3.5" customHeight="1">
      <c r="A712" s="17">
        <v>43168.083333333336</v>
      </c>
      <c r="B712" s="2" t="s">
        <v>24</v>
      </c>
      <c r="C712" s="2">
        <v>0.0</v>
      </c>
      <c r="D712" s="3" t="s">
        <v>631</v>
      </c>
      <c r="E712" s="2" t="s">
        <v>632</v>
      </c>
      <c r="F712" s="2" t="s">
        <v>138</v>
      </c>
      <c r="G712" s="2">
        <v>88.0</v>
      </c>
      <c r="H712" s="2">
        <v>198.0</v>
      </c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3.5" customHeight="1">
      <c r="A713" s="17">
        <v>43169.083333333336</v>
      </c>
      <c r="B713" s="2" t="s">
        <v>12</v>
      </c>
      <c r="C713" s="2">
        <v>0.0</v>
      </c>
      <c r="D713" s="3" t="s">
        <v>265</v>
      </c>
      <c r="E713" s="2" t="s">
        <v>633</v>
      </c>
      <c r="F713" s="2" t="s">
        <v>101</v>
      </c>
      <c r="G713" s="2">
        <v>88.0</v>
      </c>
      <c r="H713" s="2">
        <v>816666.0</v>
      </c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3.5" customHeight="1">
      <c r="A714" s="17">
        <v>43170.083333333336</v>
      </c>
      <c r="B714" s="2" t="s">
        <v>40</v>
      </c>
      <c r="C714" s="2">
        <v>0.0</v>
      </c>
      <c r="D714" s="3" t="s">
        <v>311</v>
      </c>
      <c r="E714" s="2">
        <v>6.0</v>
      </c>
      <c r="F714" s="2">
        <v>2.0</v>
      </c>
      <c r="G714" s="2">
        <v>86.0</v>
      </c>
      <c r="H714" s="2">
        <v>111667.0</v>
      </c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3.5" customHeight="1">
      <c r="A715" s="17">
        <v>43171.083333333336</v>
      </c>
      <c r="B715" s="2" t="s">
        <v>101</v>
      </c>
      <c r="C715" s="2">
        <v>0.0</v>
      </c>
      <c r="D715" s="3" t="s">
        <v>310</v>
      </c>
      <c r="E715" s="2">
        <v>0.0</v>
      </c>
      <c r="F715" s="2" t="s">
        <v>101</v>
      </c>
      <c r="G715" s="2">
        <v>86.0</v>
      </c>
      <c r="H715" s="2">
        <v>0.0</v>
      </c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3.5" customHeight="1">
      <c r="A716" s="17">
        <v>43172.083333333336</v>
      </c>
      <c r="B716" s="2" t="s">
        <v>332</v>
      </c>
      <c r="C716" s="2">
        <v>0.0</v>
      </c>
      <c r="D716" s="3" t="s">
        <v>309</v>
      </c>
      <c r="E716" s="2">
        <v>0.0</v>
      </c>
      <c r="F716" s="2" t="s">
        <v>40</v>
      </c>
      <c r="G716" s="2">
        <v>86.0</v>
      </c>
      <c r="H716" s="2">
        <v>0.0</v>
      </c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3.5" customHeight="1">
      <c r="A717" s="17">
        <v>43173.083333333336</v>
      </c>
      <c r="B717" s="2" t="s">
        <v>332</v>
      </c>
      <c r="C717" s="2">
        <v>0.0</v>
      </c>
      <c r="D717" s="3">
        <v>1019.0</v>
      </c>
      <c r="E717" s="2">
        <v>0.0</v>
      </c>
      <c r="F717" s="2" t="s">
        <v>106</v>
      </c>
      <c r="G717" s="2">
        <v>85.0</v>
      </c>
      <c r="H717" s="2">
        <v>0.0</v>
      </c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3.5" customHeight="1">
      <c r="A718" s="17">
        <v>43174.083333333336</v>
      </c>
      <c r="B718" s="2" t="s">
        <v>61</v>
      </c>
      <c r="C718" s="2">
        <v>0.0</v>
      </c>
      <c r="D718" s="3" t="s">
        <v>577</v>
      </c>
      <c r="E718" s="2">
        <v>0.0</v>
      </c>
      <c r="F718" s="2" t="s">
        <v>66</v>
      </c>
      <c r="G718" s="2">
        <v>86.0</v>
      </c>
      <c r="H718" s="2">
        <v>0.0</v>
      </c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3.5" customHeight="1">
      <c r="A719" s="17">
        <v>43175.083333333336</v>
      </c>
      <c r="B719" s="2" t="s">
        <v>60</v>
      </c>
      <c r="C719" s="2">
        <v>0.0</v>
      </c>
      <c r="D719" s="3" t="s">
        <v>578</v>
      </c>
      <c r="E719" s="2">
        <v>0.0</v>
      </c>
      <c r="F719" s="2" t="s">
        <v>28</v>
      </c>
      <c r="G719" s="2">
        <v>85.0</v>
      </c>
      <c r="H719" s="2">
        <v>0.0</v>
      </c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3.5" customHeight="1">
      <c r="A720" s="17">
        <v>43176.083333333336</v>
      </c>
      <c r="B720" s="2" t="s">
        <v>101</v>
      </c>
      <c r="C720" s="2">
        <v>0.0</v>
      </c>
      <c r="D720" s="3" t="s">
        <v>579</v>
      </c>
      <c r="E720" s="2">
        <v>0.0</v>
      </c>
      <c r="F720" s="2" t="s">
        <v>10</v>
      </c>
      <c r="G720" s="2">
        <v>85.0</v>
      </c>
      <c r="H720" s="2">
        <v>0.0</v>
      </c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3.5" customHeight="1">
      <c r="A721" s="17">
        <v>43177.083333333336</v>
      </c>
      <c r="B721" s="2" t="s">
        <v>89</v>
      </c>
      <c r="C721" s="2">
        <v>0.0</v>
      </c>
      <c r="D721" s="3" t="s">
        <v>634</v>
      </c>
      <c r="E721" s="2">
        <v>0.0</v>
      </c>
      <c r="F721" s="2" t="s">
        <v>316</v>
      </c>
      <c r="G721" s="2">
        <v>84.0</v>
      </c>
      <c r="H721" s="2">
        <v>0.0</v>
      </c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3.5" customHeight="1">
      <c r="A722" s="17">
        <v>43178.083333333336</v>
      </c>
      <c r="B722" s="2" t="s">
        <v>60</v>
      </c>
      <c r="C722" s="2">
        <v>0.0</v>
      </c>
      <c r="D722" s="3" t="s">
        <v>299</v>
      </c>
      <c r="E722" s="2">
        <v>0.0</v>
      </c>
      <c r="F722" s="2" t="s">
        <v>250</v>
      </c>
      <c r="G722" s="2">
        <v>85.0</v>
      </c>
      <c r="H722" s="2">
        <v>0.0</v>
      </c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3.5" customHeight="1">
      <c r="A723" s="17">
        <v>43179.083333333336</v>
      </c>
      <c r="B723" s="2" t="s">
        <v>64</v>
      </c>
      <c r="C723" s="2">
        <v>0.0</v>
      </c>
      <c r="D723" s="3">
        <v>1022.0</v>
      </c>
      <c r="E723" s="2">
        <v>0.0</v>
      </c>
      <c r="F723" s="2" t="s">
        <v>541</v>
      </c>
      <c r="G723" s="2">
        <v>84.0</v>
      </c>
      <c r="H723" s="2">
        <v>0.0</v>
      </c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3.5" customHeight="1">
      <c r="A724" s="17">
        <v>43180.083333333336</v>
      </c>
      <c r="B724" s="2" t="s">
        <v>12</v>
      </c>
      <c r="C724" s="2">
        <v>0.0</v>
      </c>
      <c r="D724" s="3" t="s">
        <v>177</v>
      </c>
      <c r="E724" s="2">
        <v>0.0</v>
      </c>
      <c r="F724" s="2" t="s">
        <v>127</v>
      </c>
      <c r="G724" s="2">
        <v>85.0</v>
      </c>
      <c r="H724" s="2">
        <v>0.0</v>
      </c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3.5" customHeight="1">
      <c r="A725" s="17">
        <v>43181.083333333336</v>
      </c>
      <c r="B725" s="2" t="s">
        <v>25</v>
      </c>
      <c r="C725" s="2">
        <v>0.0</v>
      </c>
      <c r="D725" s="3" t="s">
        <v>297</v>
      </c>
      <c r="E725" s="2">
        <v>0.0</v>
      </c>
      <c r="F725" s="2" t="s">
        <v>31</v>
      </c>
      <c r="G725" s="2">
        <v>84.0</v>
      </c>
      <c r="H725" s="2">
        <v>0.0</v>
      </c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3.5" customHeight="1">
      <c r="A726" s="17">
        <v>43182.083333333336</v>
      </c>
      <c r="B726" s="2" t="s">
        <v>43</v>
      </c>
      <c r="C726" s="2">
        <v>0.0</v>
      </c>
      <c r="D726" s="3" t="s">
        <v>269</v>
      </c>
      <c r="E726" s="2">
        <v>0.0</v>
      </c>
      <c r="F726" s="2">
        <v>-1.0</v>
      </c>
      <c r="G726" s="2">
        <v>84.0</v>
      </c>
      <c r="H726" s="2">
        <v>0.0</v>
      </c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3.5" customHeight="1">
      <c r="A727" s="17">
        <v>43183.083333333336</v>
      </c>
      <c r="B727" s="2" t="s">
        <v>138</v>
      </c>
      <c r="C727" s="2">
        <v>0.0</v>
      </c>
      <c r="D727" s="3" t="s">
        <v>297</v>
      </c>
      <c r="E727" s="2">
        <v>0.0</v>
      </c>
      <c r="F727" s="2" t="s">
        <v>145</v>
      </c>
      <c r="G727" s="2">
        <v>86.0</v>
      </c>
      <c r="H727" s="2">
        <v>0.0</v>
      </c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3.5" customHeight="1">
      <c r="A728" s="17">
        <v>43184.083333333336</v>
      </c>
      <c r="B728" s="2" t="s">
        <v>37</v>
      </c>
      <c r="C728" s="2">
        <v>0.0</v>
      </c>
      <c r="D728" s="3" t="s">
        <v>297</v>
      </c>
      <c r="E728" s="2">
        <v>0.0</v>
      </c>
      <c r="F728" s="2" t="s">
        <v>145</v>
      </c>
      <c r="G728" s="2">
        <v>87.0</v>
      </c>
      <c r="H728" s="2">
        <v>0.0</v>
      </c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3.5" customHeight="1">
      <c r="A729" s="17">
        <v>43185.083333333336</v>
      </c>
      <c r="B729" s="2" t="s">
        <v>106</v>
      </c>
      <c r="C729" s="2">
        <v>0.0</v>
      </c>
      <c r="D729" s="3" t="s">
        <v>271</v>
      </c>
      <c r="E729" s="2">
        <v>0.0</v>
      </c>
      <c r="F729" s="2" t="s">
        <v>19</v>
      </c>
      <c r="G729" s="2">
        <v>86.0</v>
      </c>
      <c r="H729" s="2">
        <v>0.0</v>
      </c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3.5" customHeight="1">
      <c r="A730" s="17">
        <v>43186.083333333336</v>
      </c>
      <c r="B730" s="2">
        <v>2.0</v>
      </c>
      <c r="C730" s="2">
        <v>0.0</v>
      </c>
      <c r="D730" s="3" t="s">
        <v>530</v>
      </c>
      <c r="E730" s="2">
        <v>0.0</v>
      </c>
      <c r="F730" s="2" t="s">
        <v>19</v>
      </c>
      <c r="G730" s="2">
        <v>87.0</v>
      </c>
      <c r="H730" s="2">
        <v>0.0</v>
      </c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3.5" customHeight="1">
      <c r="A731" s="17">
        <v>43187.083333333336</v>
      </c>
      <c r="B731" s="2" t="s">
        <v>71</v>
      </c>
      <c r="C731" s="2">
        <v>0.0</v>
      </c>
      <c r="D731" s="3" t="s">
        <v>524</v>
      </c>
      <c r="E731" s="2">
        <v>0.0</v>
      </c>
      <c r="F731" s="2" t="s">
        <v>124</v>
      </c>
      <c r="G731" s="2">
        <v>90.0</v>
      </c>
      <c r="H731" s="2">
        <v>0.0</v>
      </c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3.5" customHeight="1">
      <c r="A732" s="17">
        <v>43188.083333333336</v>
      </c>
      <c r="B732" s="2" t="s">
        <v>25</v>
      </c>
      <c r="C732" s="2">
        <v>0.0</v>
      </c>
      <c r="D732" s="3" t="s">
        <v>532</v>
      </c>
      <c r="E732" s="2">
        <v>11.0</v>
      </c>
      <c r="F732" s="2" t="s">
        <v>19</v>
      </c>
      <c r="G732" s="2">
        <v>88.0</v>
      </c>
      <c r="H732" s="2">
        <v>0.0</v>
      </c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3.5" customHeight="1">
      <c r="A733" s="17">
        <v>43189.083333333336</v>
      </c>
      <c r="B733" s="2" t="s">
        <v>264</v>
      </c>
      <c r="C733" s="2">
        <v>0.0</v>
      </c>
      <c r="D733" s="3" t="s">
        <v>594</v>
      </c>
      <c r="E733" s="2" t="s">
        <v>635</v>
      </c>
      <c r="F733" s="2">
        <v>-1.0</v>
      </c>
      <c r="G733" s="2">
        <v>86.0</v>
      </c>
      <c r="H733" s="2">
        <v>463333.0</v>
      </c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3.5" customHeight="1">
      <c r="A734" s="17">
        <v>43190.083333333336</v>
      </c>
      <c r="B734" s="2" t="s">
        <v>43</v>
      </c>
      <c r="C734" s="2">
        <v>0.0</v>
      </c>
      <c r="D734" s="3" t="s">
        <v>532</v>
      </c>
      <c r="E734" s="2" t="s">
        <v>636</v>
      </c>
      <c r="F734" s="2" t="s">
        <v>127</v>
      </c>
      <c r="G734" s="2">
        <v>81.0</v>
      </c>
      <c r="H734" s="2">
        <v>3361666.0</v>
      </c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3.5" customHeight="1">
      <c r="A735" s="17">
        <v>43191.083333333336</v>
      </c>
      <c r="B735" s="2" t="s">
        <v>138</v>
      </c>
      <c r="C735" s="2">
        <v>0.0</v>
      </c>
      <c r="D735" s="3" t="s">
        <v>524</v>
      </c>
      <c r="E735" s="2" t="s">
        <v>637</v>
      </c>
      <c r="F735" s="2" t="s">
        <v>143</v>
      </c>
      <c r="G735" s="2">
        <v>82.0</v>
      </c>
      <c r="H735" s="2">
        <v>5213332.0</v>
      </c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3.5" customHeight="1">
      <c r="A736" s="17">
        <v>43192.083333333336</v>
      </c>
      <c r="B736" s="2" t="s">
        <v>37</v>
      </c>
      <c r="C736" s="2">
        <v>0.0</v>
      </c>
      <c r="D736" s="3" t="s">
        <v>524</v>
      </c>
      <c r="E736" s="2" t="s">
        <v>638</v>
      </c>
      <c r="F736" s="2" t="s">
        <v>152</v>
      </c>
      <c r="G736" s="2">
        <v>85.0</v>
      </c>
      <c r="H736" s="2">
        <v>4286667.0</v>
      </c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3.5" customHeight="1">
      <c r="A737" s="17">
        <v>43193.083333333336</v>
      </c>
      <c r="B737" s="2" t="s">
        <v>29</v>
      </c>
      <c r="C737" s="2">
        <v>0.0</v>
      </c>
      <c r="D737" s="3" t="s">
        <v>292</v>
      </c>
      <c r="E737" s="2" t="s">
        <v>639</v>
      </c>
      <c r="F737" s="2" t="s">
        <v>543</v>
      </c>
      <c r="G737" s="2">
        <v>84.0</v>
      </c>
      <c r="H737" s="2">
        <v>2796666.0</v>
      </c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3.5" customHeight="1">
      <c r="A738" s="17">
        <v>43194.083333333336</v>
      </c>
      <c r="B738" s="2" t="s">
        <v>24</v>
      </c>
      <c r="C738" s="2">
        <v>0.0</v>
      </c>
      <c r="D738" s="3" t="s">
        <v>273</v>
      </c>
      <c r="E738" s="2" t="s">
        <v>457</v>
      </c>
      <c r="F738" s="2" t="s">
        <v>152</v>
      </c>
      <c r="G738" s="2">
        <v>87.0</v>
      </c>
      <c r="H738" s="2">
        <v>576666.0</v>
      </c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3.5" customHeight="1">
      <c r="A739" s="17">
        <v>43195.083333333336</v>
      </c>
      <c r="B739" s="2">
        <v>1.0</v>
      </c>
      <c r="C739" s="2">
        <v>0.0</v>
      </c>
      <c r="D739" s="3" t="s">
        <v>292</v>
      </c>
      <c r="E739" s="2">
        <v>0.0</v>
      </c>
      <c r="F739" s="2" t="s">
        <v>127</v>
      </c>
      <c r="G739" s="2">
        <v>88.0</v>
      </c>
      <c r="H739" s="2">
        <v>0.0</v>
      </c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3.5" customHeight="1">
      <c r="A740" s="17">
        <v>43196.083333333336</v>
      </c>
      <c r="B740" s="2" t="s">
        <v>40</v>
      </c>
      <c r="C740" s="2">
        <v>0.0</v>
      </c>
      <c r="D740" s="3" t="s">
        <v>524</v>
      </c>
      <c r="E740" s="2">
        <v>0.0</v>
      </c>
      <c r="F740" s="2" t="s">
        <v>143</v>
      </c>
      <c r="G740" s="2">
        <v>89.0</v>
      </c>
      <c r="H740" s="2">
        <v>0.0</v>
      </c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3.5" customHeight="1">
      <c r="A741" s="17">
        <v>43197.083333333336</v>
      </c>
      <c r="B741" s="2" t="s">
        <v>71</v>
      </c>
      <c r="C741" s="2">
        <v>0.0</v>
      </c>
      <c r="D741" s="3" t="s">
        <v>532</v>
      </c>
      <c r="E741" s="2">
        <v>0.0</v>
      </c>
      <c r="F741" s="2" t="s">
        <v>541</v>
      </c>
      <c r="G741" s="2">
        <v>88.0</v>
      </c>
      <c r="H741" s="2">
        <v>0.0</v>
      </c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3.5" customHeight="1">
      <c r="A742" s="17">
        <v>43198.083333333336</v>
      </c>
      <c r="B742" s="2" t="s">
        <v>43</v>
      </c>
      <c r="C742" s="2">
        <v>0.0</v>
      </c>
      <c r="D742" s="3" t="s">
        <v>275</v>
      </c>
      <c r="E742" s="2">
        <v>0.0</v>
      </c>
      <c r="F742" s="2" t="s">
        <v>541</v>
      </c>
      <c r="G742" s="2">
        <v>87.0</v>
      </c>
      <c r="H742" s="2">
        <v>0.0</v>
      </c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3.5" customHeight="1">
      <c r="A743" s="17">
        <v>43199.083333333336</v>
      </c>
      <c r="B743" s="2" t="s">
        <v>87</v>
      </c>
      <c r="C743" s="2">
        <v>0.0</v>
      </c>
      <c r="D743" s="3" t="s">
        <v>532</v>
      </c>
      <c r="E743" s="2">
        <v>0.0</v>
      </c>
      <c r="F743" s="2" t="s">
        <v>541</v>
      </c>
      <c r="G743" s="2">
        <v>86.0</v>
      </c>
      <c r="H743" s="2">
        <v>0.0</v>
      </c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3.5" customHeight="1">
      <c r="A744" s="17">
        <v>43200.083333333336</v>
      </c>
      <c r="B744" s="2" t="s">
        <v>87</v>
      </c>
      <c r="C744" s="2">
        <v>0.0</v>
      </c>
      <c r="D744" s="3" t="s">
        <v>532</v>
      </c>
      <c r="E744" s="2">
        <v>0.0</v>
      </c>
      <c r="F744" s="2" t="s">
        <v>250</v>
      </c>
      <c r="G744" s="2">
        <v>81.0</v>
      </c>
      <c r="H744" s="2">
        <v>0.0</v>
      </c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3.5" customHeight="1">
      <c r="A745" s="17">
        <v>43201.083333333336</v>
      </c>
      <c r="B745" s="2" t="s">
        <v>29</v>
      </c>
      <c r="C745" s="2">
        <v>0.0</v>
      </c>
      <c r="D745" s="3" t="s">
        <v>292</v>
      </c>
      <c r="E745" s="2">
        <v>0.0</v>
      </c>
      <c r="F745" s="2" t="s">
        <v>14</v>
      </c>
      <c r="G745" s="2">
        <v>76.0</v>
      </c>
      <c r="H745" s="2">
        <v>0.0</v>
      </c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3.5" customHeight="1">
      <c r="A746" s="18"/>
      <c r="B746" s="19"/>
      <c r="C746" s="19"/>
      <c r="D746" s="20"/>
      <c r="E746" s="19"/>
      <c r="F746" s="19"/>
      <c r="G746" s="19"/>
      <c r="H746" s="19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3.5" customHeight="1">
      <c r="A747" s="18"/>
      <c r="B747" s="19"/>
      <c r="C747" s="19"/>
      <c r="D747" s="20"/>
      <c r="E747" s="19"/>
      <c r="F747" s="19"/>
      <c r="G747" s="19"/>
      <c r="H747" s="19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3.5" customHeight="1">
      <c r="A748" s="18"/>
      <c r="B748" s="19"/>
      <c r="C748" s="19"/>
      <c r="D748" s="20"/>
      <c r="E748" s="19"/>
      <c r="F748" s="19"/>
      <c r="G748" s="19"/>
      <c r="H748" s="19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3.5" customHeight="1">
      <c r="A749" s="18"/>
      <c r="B749" s="19"/>
      <c r="C749" s="19"/>
      <c r="D749" s="20"/>
      <c r="E749" s="19"/>
      <c r="F749" s="19"/>
      <c r="G749" s="19"/>
      <c r="H749" s="19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3.5" customHeight="1">
      <c r="A750" s="18"/>
      <c r="B750" s="19"/>
      <c r="C750" s="19"/>
      <c r="D750" s="20"/>
      <c r="E750" s="19"/>
      <c r="F750" s="19"/>
      <c r="G750" s="19"/>
      <c r="H750" s="19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3.5" customHeight="1">
      <c r="A751" s="18"/>
      <c r="B751" s="19"/>
      <c r="C751" s="19"/>
      <c r="D751" s="20"/>
      <c r="E751" s="19"/>
      <c r="F751" s="19"/>
      <c r="G751" s="19"/>
      <c r="H751" s="19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3.5" customHeight="1">
      <c r="A752" s="18"/>
      <c r="B752" s="19"/>
      <c r="C752" s="19"/>
      <c r="D752" s="20"/>
      <c r="E752" s="19"/>
      <c r="F752" s="19"/>
      <c r="G752" s="19"/>
      <c r="H752" s="19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3.5" customHeight="1">
      <c r="A753" s="18"/>
      <c r="B753" s="19"/>
      <c r="C753" s="19"/>
      <c r="D753" s="20"/>
      <c r="E753" s="19"/>
      <c r="F753" s="19"/>
      <c r="G753" s="19"/>
      <c r="H753" s="19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3.5" customHeight="1">
      <c r="A754" s="18"/>
      <c r="B754" s="19"/>
      <c r="C754" s="19"/>
      <c r="D754" s="20"/>
      <c r="E754" s="19"/>
      <c r="F754" s="19"/>
      <c r="G754" s="19"/>
      <c r="H754" s="19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3.5" customHeight="1">
      <c r="A755" s="18"/>
      <c r="B755" s="19"/>
      <c r="C755" s="19"/>
      <c r="D755" s="20"/>
      <c r="E755" s="19"/>
      <c r="F755" s="19"/>
      <c r="G755" s="19"/>
      <c r="H755" s="19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3.5" customHeight="1">
      <c r="A756" s="18"/>
      <c r="B756" s="19"/>
      <c r="C756" s="19"/>
      <c r="D756" s="20"/>
      <c r="E756" s="19"/>
      <c r="F756" s="19"/>
      <c r="G756" s="19"/>
      <c r="H756" s="19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3.5" customHeight="1">
      <c r="A757" s="18"/>
      <c r="B757" s="19"/>
      <c r="C757" s="19"/>
      <c r="D757" s="20"/>
      <c r="E757" s="19"/>
      <c r="F757" s="19"/>
      <c r="G757" s="19"/>
      <c r="H757" s="19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3.5" customHeight="1">
      <c r="A758" s="18"/>
      <c r="B758" s="19"/>
      <c r="C758" s="19"/>
      <c r="D758" s="20"/>
      <c r="E758" s="19"/>
      <c r="F758" s="19"/>
      <c r="G758" s="19"/>
      <c r="H758" s="19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3.5" customHeight="1">
      <c r="A759" s="18"/>
      <c r="B759" s="19"/>
      <c r="C759" s="19"/>
      <c r="D759" s="20"/>
      <c r="E759" s="19"/>
      <c r="F759" s="19"/>
      <c r="G759" s="19"/>
      <c r="H759" s="19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3.5" customHeight="1">
      <c r="A760" s="18"/>
      <c r="B760" s="19"/>
      <c r="C760" s="19"/>
      <c r="D760" s="20"/>
      <c r="E760" s="19"/>
      <c r="F760" s="19"/>
      <c r="G760" s="19"/>
      <c r="H760" s="19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3.5" customHeight="1">
      <c r="A761" s="18"/>
      <c r="B761" s="19"/>
      <c r="C761" s="19"/>
      <c r="D761" s="20"/>
      <c r="E761" s="19"/>
      <c r="F761" s="19"/>
      <c r="G761" s="19"/>
      <c r="H761" s="19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3.5" customHeight="1">
      <c r="A762" s="18"/>
      <c r="B762" s="19"/>
      <c r="C762" s="19"/>
      <c r="D762" s="20"/>
      <c r="E762" s="19"/>
      <c r="F762" s="19"/>
      <c r="G762" s="19"/>
      <c r="H762" s="19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3.5" customHeight="1">
      <c r="A763" s="18"/>
      <c r="B763" s="19"/>
      <c r="C763" s="19"/>
      <c r="D763" s="20"/>
      <c r="E763" s="19"/>
      <c r="F763" s="19"/>
      <c r="G763" s="19"/>
      <c r="H763" s="19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3.5" customHeight="1">
      <c r="A764" s="18"/>
      <c r="B764" s="19"/>
      <c r="C764" s="19"/>
      <c r="D764" s="20"/>
      <c r="E764" s="19"/>
      <c r="F764" s="19"/>
      <c r="G764" s="19"/>
      <c r="H764" s="19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3.5" customHeight="1">
      <c r="A765" s="18"/>
      <c r="B765" s="19"/>
      <c r="C765" s="19"/>
      <c r="D765" s="20"/>
      <c r="E765" s="19"/>
      <c r="F765" s="19"/>
      <c r="G765" s="19"/>
      <c r="H765" s="19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3.5" customHeight="1">
      <c r="A766" s="18"/>
      <c r="B766" s="19"/>
      <c r="C766" s="19"/>
      <c r="D766" s="20"/>
      <c r="E766" s="19"/>
      <c r="F766" s="19"/>
      <c r="G766" s="19"/>
      <c r="H766" s="19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3.5" customHeight="1">
      <c r="A767" s="18"/>
      <c r="B767" s="19"/>
      <c r="C767" s="19"/>
      <c r="D767" s="20"/>
      <c r="E767" s="19"/>
      <c r="F767" s="19"/>
      <c r="G767" s="19"/>
      <c r="H767" s="19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3.5" customHeight="1">
      <c r="A768" s="18"/>
      <c r="B768" s="19"/>
      <c r="C768" s="19"/>
      <c r="D768" s="20"/>
      <c r="E768" s="19"/>
      <c r="F768" s="19"/>
      <c r="G768" s="19"/>
      <c r="H768" s="19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3.5" customHeight="1">
      <c r="A769" s="18"/>
      <c r="B769" s="19"/>
      <c r="C769" s="19"/>
      <c r="D769" s="20"/>
      <c r="E769" s="19"/>
      <c r="F769" s="19"/>
      <c r="G769" s="19"/>
      <c r="H769" s="19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3.5" customHeight="1">
      <c r="A770" s="18"/>
      <c r="B770" s="19"/>
      <c r="C770" s="19"/>
      <c r="D770" s="20"/>
      <c r="E770" s="19"/>
      <c r="F770" s="19"/>
      <c r="G770" s="19"/>
      <c r="H770" s="19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3.5" customHeight="1">
      <c r="A771" s="18"/>
      <c r="B771" s="19"/>
      <c r="C771" s="19"/>
      <c r="D771" s="20"/>
      <c r="E771" s="19"/>
      <c r="F771" s="19"/>
      <c r="G771" s="19"/>
      <c r="H771" s="19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3.5" customHeight="1">
      <c r="A772" s="18"/>
      <c r="B772" s="19"/>
      <c r="C772" s="19"/>
      <c r="D772" s="20"/>
      <c r="E772" s="19"/>
      <c r="F772" s="19"/>
      <c r="G772" s="19"/>
      <c r="H772" s="19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3.5" customHeight="1">
      <c r="A773" s="18"/>
      <c r="B773" s="19"/>
      <c r="C773" s="19"/>
      <c r="D773" s="20"/>
      <c r="E773" s="19"/>
      <c r="F773" s="19"/>
      <c r="G773" s="19"/>
      <c r="H773" s="19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3.5" customHeight="1">
      <c r="A774" s="18"/>
      <c r="B774" s="19"/>
      <c r="C774" s="19"/>
      <c r="D774" s="20"/>
      <c r="E774" s="19"/>
      <c r="F774" s="19"/>
      <c r="G774" s="19"/>
      <c r="H774" s="19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3.5" customHeight="1">
      <c r="A775" s="18"/>
      <c r="B775" s="19"/>
      <c r="C775" s="19"/>
      <c r="D775" s="20"/>
      <c r="E775" s="19"/>
      <c r="F775" s="19"/>
      <c r="G775" s="19"/>
      <c r="H775" s="19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3.5" customHeight="1">
      <c r="A776" s="18"/>
      <c r="B776" s="19"/>
      <c r="C776" s="19"/>
      <c r="D776" s="20"/>
      <c r="E776" s="19"/>
      <c r="F776" s="19"/>
      <c r="G776" s="19"/>
      <c r="H776" s="19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3.5" customHeight="1">
      <c r="A777" s="18"/>
      <c r="B777" s="19"/>
      <c r="C777" s="19"/>
      <c r="D777" s="20"/>
      <c r="E777" s="19"/>
      <c r="F777" s="19"/>
      <c r="G777" s="19"/>
      <c r="H777" s="19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3.5" customHeight="1">
      <c r="A778" s="18"/>
      <c r="B778" s="19"/>
      <c r="C778" s="19"/>
      <c r="D778" s="20"/>
      <c r="E778" s="19"/>
      <c r="F778" s="19"/>
      <c r="G778" s="19"/>
      <c r="H778" s="19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3.5" customHeight="1">
      <c r="A779" s="18"/>
      <c r="B779" s="19"/>
      <c r="C779" s="19"/>
      <c r="D779" s="20"/>
      <c r="E779" s="19"/>
      <c r="F779" s="19"/>
      <c r="G779" s="19"/>
      <c r="H779" s="19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3.5" customHeight="1">
      <c r="A780" s="18"/>
      <c r="B780" s="19"/>
      <c r="C780" s="19"/>
      <c r="D780" s="20"/>
      <c r="E780" s="19"/>
      <c r="F780" s="19"/>
      <c r="G780" s="19"/>
      <c r="H780" s="19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3.5" customHeight="1">
      <c r="A781" s="18"/>
      <c r="B781" s="19"/>
      <c r="C781" s="19"/>
      <c r="D781" s="20"/>
      <c r="E781" s="19"/>
      <c r="F781" s="19"/>
      <c r="G781" s="19"/>
      <c r="H781" s="19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3.5" customHeight="1">
      <c r="A782" s="18"/>
      <c r="B782" s="19"/>
      <c r="C782" s="19"/>
      <c r="D782" s="20"/>
      <c r="E782" s="19"/>
      <c r="F782" s="19"/>
      <c r="G782" s="19"/>
      <c r="H782" s="19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3.5" customHeight="1">
      <c r="A783" s="18"/>
      <c r="B783" s="19"/>
      <c r="C783" s="19"/>
      <c r="D783" s="20"/>
      <c r="E783" s="19"/>
      <c r="F783" s="19"/>
      <c r="G783" s="19"/>
      <c r="H783" s="19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3.5" customHeight="1">
      <c r="A784" s="18"/>
      <c r="B784" s="19"/>
      <c r="C784" s="19"/>
      <c r="D784" s="20"/>
      <c r="E784" s="19"/>
      <c r="F784" s="19"/>
      <c r="G784" s="19"/>
      <c r="H784" s="19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3.5" customHeight="1">
      <c r="A785" s="18"/>
      <c r="B785" s="19"/>
      <c r="C785" s="19"/>
      <c r="D785" s="20"/>
      <c r="E785" s="19"/>
      <c r="F785" s="19"/>
      <c r="G785" s="19"/>
      <c r="H785" s="19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3.5" customHeight="1">
      <c r="A786" s="18"/>
      <c r="B786" s="19"/>
      <c r="C786" s="19"/>
      <c r="D786" s="20"/>
      <c r="E786" s="19"/>
      <c r="F786" s="19"/>
      <c r="G786" s="19"/>
      <c r="H786" s="19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3.5" customHeight="1">
      <c r="A787" s="18"/>
      <c r="B787" s="19"/>
      <c r="C787" s="19"/>
      <c r="D787" s="20"/>
      <c r="E787" s="19"/>
      <c r="F787" s="19"/>
      <c r="G787" s="19"/>
      <c r="H787" s="19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3.5" customHeight="1">
      <c r="A788" s="18"/>
      <c r="B788" s="19"/>
      <c r="C788" s="19"/>
      <c r="D788" s="20"/>
      <c r="E788" s="19"/>
      <c r="F788" s="19"/>
      <c r="G788" s="19"/>
      <c r="H788" s="19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3.5" customHeight="1">
      <c r="A789" s="18"/>
      <c r="B789" s="19"/>
      <c r="C789" s="19"/>
      <c r="D789" s="20"/>
      <c r="E789" s="19"/>
      <c r="F789" s="19"/>
      <c r="G789" s="19"/>
      <c r="H789" s="19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3.5" customHeight="1">
      <c r="A790" s="18"/>
      <c r="B790" s="19"/>
      <c r="C790" s="19"/>
      <c r="D790" s="20"/>
      <c r="E790" s="19"/>
      <c r="F790" s="19"/>
      <c r="G790" s="19"/>
      <c r="H790" s="19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3.5" customHeight="1">
      <c r="A791" s="18"/>
      <c r="B791" s="19"/>
      <c r="C791" s="19"/>
      <c r="D791" s="20"/>
      <c r="E791" s="19"/>
      <c r="F791" s="19"/>
      <c r="G791" s="19"/>
      <c r="H791" s="19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3.5" customHeight="1">
      <c r="A792" s="18"/>
      <c r="B792" s="19"/>
      <c r="C792" s="19"/>
      <c r="D792" s="20"/>
      <c r="E792" s="19"/>
      <c r="F792" s="19"/>
      <c r="G792" s="19"/>
      <c r="H792" s="19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3.5" customHeight="1">
      <c r="A793" s="18"/>
      <c r="B793" s="19"/>
      <c r="C793" s="19"/>
      <c r="D793" s="20"/>
      <c r="E793" s="19"/>
      <c r="F793" s="19"/>
      <c r="G793" s="19"/>
      <c r="H793" s="19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3.5" customHeight="1">
      <c r="A794" s="18"/>
      <c r="B794" s="19"/>
      <c r="C794" s="19"/>
      <c r="D794" s="20"/>
      <c r="E794" s="19"/>
      <c r="F794" s="19"/>
      <c r="G794" s="19"/>
      <c r="H794" s="19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3.5" customHeight="1">
      <c r="A795" s="18"/>
      <c r="B795" s="19"/>
      <c r="C795" s="19"/>
      <c r="D795" s="20"/>
      <c r="E795" s="19"/>
      <c r="F795" s="19"/>
      <c r="G795" s="19"/>
      <c r="H795" s="19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3.5" customHeight="1">
      <c r="A796" s="18"/>
      <c r="B796" s="19"/>
      <c r="C796" s="19"/>
      <c r="D796" s="20"/>
      <c r="E796" s="19"/>
      <c r="F796" s="19"/>
      <c r="G796" s="19"/>
      <c r="H796" s="19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3.5" customHeight="1">
      <c r="A797" s="18"/>
      <c r="B797" s="19"/>
      <c r="C797" s="19"/>
      <c r="D797" s="20"/>
      <c r="E797" s="19"/>
      <c r="F797" s="19"/>
      <c r="G797" s="19"/>
      <c r="H797" s="19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3.5" customHeight="1">
      <c r="A798" s="18"/>
      <c r="B798" s="19"/>
      <c r="C798" s="19"/>
      <c r="D798" s="20"/>
      <c r="E798" s="19"/>
      <c r="F798" s="19"/>
      <c r="G798" s="19"/>
      <c r="H798" s="19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3.5" customHeight="1">
      <c r="A799" s="18"/>
      <c r="B799" s="19"/>
      <c r="C799" s="19"/>
      <c r="D799" s="20"/>
      <c r="E799" s="19"/>
      <c r="F799" s="19"/>
      <c r="G799" s="19"/>
      <c r="H799" s="19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3.5" customHeight="1">
      <c r="A800" s="18"/>
      <c r="B800" s="19"/>
      <c r="C800" s="19"/>
      <c r="D800" s="20"/>
      <c r="E800" s="19"/>
      <c r="F800" s="19"/>
      <c r="G800" s="19"/>
      <c r="H800" s="19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3.5" customHeight="1">
      <c r="A801" s="18"/>
      <c r="B801" s="19"/>
      <c r="C801" s="19"/>
      <c r="D801" s="20"/>
      <c r="E801" s="19"/>
      <c r="F801" s="19"/>
      <c r="G801" s="19"/>
      <c r="H801" s="19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3.5" customHeight="1">
      <c r="A802" s="18"/>
      <c r="B802" s="19"/>
      <c r="C802" s="19"/>
      <c r="D802" s="20"/>
      <c r="E802" s="19"/>
      <c r="F802" s="19"/>
      <c r="G802" s="19"/>
      <c r="H802" s="19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3.5" customHeight="1">
      <c r="A803" s="18"/>
      <c r="B803" s="19"/>
      <c r="C803" s="19"/>
      <c r="D803" s="20"/>
      <c r="E803" s="19"/>
      <c r="F803" s="19"/>
      <c r="G803" s="19"/>
      <c r="H803" s="19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3.5" customHeight="1">
      <c r="A804" s="18"/>
      <c r="B804" s="19"/>
      <c r="C804" s="19"/>
      <c r="D804" s="20"/>
      <c r="E804" s="19"/>
      <c r="F804" s="19"/>
      <c r="G804" s="19"/>
      <c r="H804" s="19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3.5" customHeight="1">
      <c r="A805" s="18"/>
      <c r="B805" s="19"/>
      <c r="C805" s="19"/>
      <c r="D805" s="20"/>
      <c r="E805" s="19"/>
      <c r="F805" s="19"/>
      <c r="G805" s="19"/>
      <c r="H805" s="19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3.5" customHeight="1">
      <c r="A806" s="18"/>
      <c r="B806" s="19"/>
      <c r="C806" s="19"/>
      <c r="D806" s="20"/>
      <c r="E806" s="19"/>
      <c r="F806" s="19"/>
      <c r="G806" s="19"/>
      <c r="H806" s="19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3.5" customHeight="1">
      <c r="A807" s="18"/>
      <c r="B807" s="19"/>
      <c r="C807" s="19"/>
      <c r="D807" s="20"/>
      <c r="E807" s="19"/>
      <c r="F807" s="19"/>
      <c r="G807" s="19"/>
      <c r="H807" s="19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3.5" customHeight="1">
      <c r="A808" s="18"/>
      <c r="B808" s="19"/>
      <c r="C808" s="19"/>
      <c r="D808" s="20"/>
      <c r="E808" s="19"/>
      <c r="F808" s="19"/>
      <c r="G808" s="19"/>
      <c r="H808" s="19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3.5" customHeight="1">
      <c r="A809" s="18"/>
      <c r="B809" s="19"/>
      <c r="C809" s="19"/>
      <c r="D809" s="20"/>
      <c r="E809" s="19"/>
      <c r="F809" s="19"/>
      <c r="G809" s="19"/>
      <c r="H809" s="19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3.5" customHeight="1">
      <c r="A810" s="18"/>
      <c r="B810" s="19"/>
      <c r="C810" s="19"/>
      <c r="D810" s="20"/>
      <c r="E810" s="19"/>
      <c r="F810" s="19"/>
      <c r="G810" s="19"/>
      <c r="H810" s="19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3.5" customHeight="1">
      <c r="A811" s="18"/>
      <c r="B811" s="19"/>
      <c r="C811" s="19"/>
      <c r="D811" s="20"/>
      <c r="E811" s="19"/>
      <c r="F811" s="19"/>
      <c r="G811" s="19"/>
      <c r="H811" s="19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3.5" customHeight="1">
      <c r="A812" s="18"/>
      <c r="B812" s="19"/>
      <c r="C812" s="19"/>
      <c r="D812" s="20"/>
      <c r="E812" s="19"/>
      <c r="F812" s="19"/>
      <c r="G812" s="19"/>
      <c r="H812" s="19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3.5" customHeight="1">
      <c r="A813" s="18"/>
      <c r="B813" s="19"/>
      <c r="C813" s="19"/>
      <c r="D813" s="20"/>
      <c r="E813" s="19"/>
      <c r="F813" s="19"/>
      <c r="G813" s="19"/>
      <c r="H813" s="19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3.5" customHeight="1">
      <c r="A814" s="18"/>
      <c r="B814" s="19"/>
      <c r="C814" s="19"/>
      <c r="D814" s="20"/>
      <c r="E814" s="19"/>
      <c r="F814" s="19"/>
      <c r="G814" s="19"/>
      <c r="H814" s="19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3.5" customHeight="1">
      <c r="A815" s="18"/>
      <c r="B815" s="19"/>
      <c r="C815" s="19"/>
      <c r="D815" s="20"/>
      <c r="E815" s="19"/>
      <c r="F815" s="19"/>
      <c r="G815" s="19"/>
      <c r="H815" s="19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3.5" customHeight="1">
      <c r="A816" s="18"/>
      <c r="B816" s="19"/>
      <c r="C816" s="19"/>
      <c r="D816" s="20"/>
      <c r="E816" s="19"/>
      <c r="F816" s="19"/>
      <c r="G816" s="19"/>
      <c r="H816" s="19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3.5" customHeight="1">
      <c r="A817" s="18"/>
      <c r="B817" s="19"/>
      <c r="C817" s="19"/>
      <c r="D817" s="20"/>
      <c r="E817" s="19"/>
      <c r="F817" s="19"/>
      <c r="G817" s="19"/>
      <c r="H817" s="19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3.5" customHeight="1">
      <c r="A818" s="18"/>
      <c r="B818" s="19"/>
      <c r="C818" s="19"/>
      <c r="D818" s="20"/>
      <c r="E818" s="19"/>
      <c r="F818" s="19"/>
      <c r="G818" s="19"/>
      <c r="H818" s="19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3.5" customHeight="1">
      <c r="A819" s="18"/>
      <c r="B819" s="19"/>
      <c r="C819" s="19"/>
      <c r="D819" s="20"/>
      <c r="E819" s="19"/>
      <c r="F819" s="19"/>
      <c r="G819" s="19"/>
      <c r="H819" s="19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3.5" customHeight="1">
      <c r="A820" s="18"/>
      <c r="B820" s="19"/>
      <c r="C820" s="19"/>
      <c r="D820" s="20"/>
      <c r="E820" s="19"/>
      <c r="F820" s="19"/>
      <c r="G820" s="19"/>
      <c r="H820" s="19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3.5" customHeight="1">
      <c r="A821" s="18"/>
      <c r="B821" s="19"/>
      <c r="C821" s="19"/>
      <c r="D821" s="20"/>
      <c r="E821" s="19"/>
      <c r="F821" s="19"/>
      <c r="G821" s="19"/>
      <c r="H821" s="19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3.5" customHeight="1">
      <c r="A822" s="18"/>
      <c r="B822" s="19"/>
      <c r="C822" s="19"/>
      <c r="D822" s="20"/>
      <c r="E822" s="19"/>
      <c r="F822" s="19"/>
      <c r="G822" s="19"/>
      <c r="H822" s="19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3.5" customHeight="1">
      <c r="A823" s="18"/>
      <c r="B823" s="19"/>
      <c r="C823" s="19"/>
      <c r="D823" s="20"/>
      <c r="E823" s="19"/>
      <c r="F823" s="19"/>
      <c r="G823" s="19"/>
      <c r="H823" s="19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3.5" customHeight="1">
      <c r="A824" s="18"/>
      <c r="B824" s="19"/>
      <c r="C824" s="19"/>
      <c r="D824" s="20"/>
      <c r="E824" s="19"/>
      <c r="F824" s="19"/>
      <c r="G824" s="19"/>
      <c r="H824" s="19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3.5" customHeight="1">
      <c r="A825" s="18"/>
      <c r="B825" s="19"/>
      <c r="C825" s="19"/>
      <c r="D825" s="20"/>
      <c r="E825" s="19"/>
      <c r="F825" s="19"/>
      <c r="G825" s="19"/>
      <c r="H825" s="19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3.5" customHeight="1">
      <c r="A826" s="18"/>
      <c r="B826" s="19"/>
      <c r="C826" s="19"/>
      <c r="D826" s="20"/>
      <c r="E826" s="19"/>
      <c r="F826" s="19"/>
      <c r="G826" s="19"/>
      <c r="H826" s="19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3.5" customHeight="1">
      <c r="A827" s="18"/>
      <c r="B827" s="19"/>
      <c r="C827" s="19"/>
      <c r="D827" s="20"/>
      <c r="E827" s="19"/>
      <c r="F827" s="19"/>
      <c r="G827" s="19"/>
      <c r="H827" s="19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3.5" customHeight="1">
      <c r="A828" s="18"/>
      <c r="B828" s="19"/>
      <c r="C828" s="19"/>
      <c r="D828" s="20"/>
      <c r="E828" s="19"/>
      <c r="F828" s="19"/>
      <c r="G828" s="19"/>
      <c r="H828" s="19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3.5" customHeight="1">
      <c r="A829" s="18"/>
      <c r="B829" s="19"/>
      <c r="C829" s="19"/>
      <c r="D829" s="20"/>
      <c r="E829" s="19"/>
      <c r="F829" s="19"/>
      <c r="G829" s="19"/>
      <c r="H829" s="19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3.5" customHeight="1">
      <c r="A830" s="18"/>
      <c r="B830" s="19"/>
      <c r="C830" s="19"/>
      <c r="D830" s="20"/>
      <c r="E830" s="19"/>
      <c r="F830" s="19"/>
      <c r="G830" s="19"/>
      <c r="H830" s="19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3.5" customHeight="1">
      <c r="A831" s="18"/>
      <c r="B831" s="19"/>
      <c r="C831" s="19"/>
      <c r="D831" s="20"/>
      <c r="E831" s="19"/>
      <c r="F831" s="19"/>
      <c r="G831" s="19"/>
      <c r="H831" s="19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3.5" customHeight="1">
      <c r="A832" s="18"/>
      <c r="B832" s="19"/>
      <c r="C832" s="19"/>
      <c r="D832" s="20"/>
      <c r="E832" s="19"/>
      <c r="F832" s="19"/>
      <c r="G832" s="19"/>
      <c r="H832" s="19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3.5" customHeight="1">
      <c r="A833" s="18"/>
      <c r="B833" s="19"/>
      <c r="C833" s="19"/>
      <c r="D833" s="20"/>
      <c r="E833" s="19"/>
      <c r="F833" s="19"/>
      <c r="G833" s="19"/>
      <c r="H833" s="19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3.5" customHeight="1">
      <c r="A834" s="18"/>
      <c r="B834" s="19"/>
      <c r="C834" s="19"/>
      <c r="D834" s="20"/>
      <c r="E834" s="19"/>
      <c r="F834" s="19"/>
      <c r="G834" s="19"/>
      <c r="H834" s="19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3.5" customHeight="1">
      <c r="A835" s="18"/>
      <c r="B835" s="19"/>
      <c r="C835" s="19"/>
      <c r="D835" s="20"/>
      <c r="E835" s="19"/>
      <c r="F835" s="19"/>
      <c r="G835" s="19"/>
      <c r="H835" s="19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3.5" customHeight="1">
      <c r="A836" s="18"/>
      <c r="B836" s="19"/>
      <c r="C836" s="19"/>
      <c r="D836" s="20"/>
      <c r="E836" s="19"/>
      <c r="F836" s="19"/>
      <c r="G836" s="19"/>
      <c r="H836" s="19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3.5" customHeight="1">
      <c r="A837" s="18"/>
      <c r="B837" s="19"/>
      <c r="C837" s="19"/>
      <c r="D837" s="20"/>
      <c r="E837" s="19"/>
      <c r="F837" s="19"/>
      <c r="G837" s="19"/>
      <c r="H837" s="19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3.5" customHeight="1">
      <c r="A838" s="18"/>
      <c r="B838" s="19"/>
      <c r="C838" s="19"/>
      <c r="D838" s="20"/>
      <c r="E838" s="19"/>
      <c r="F838" s="19"/>
      <c r="G838" s="19"/>
      <c r="H838" s="19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3.5" customHeight="1">
      <c r="A839" s="18"/>
      <c r="B839" s="19"/>
      <c r="C839" s="19"/>
      <c r="D839" s="20"/>
      <c r="E839" s="19"/>
      <c r="F839" s="19"/>
      <c r="G839" s="19"/>
      <c r="H839" s="19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3.5" customHeight="1">
      <c r="A840" s="18"/>
      <c r="B840" s="19"/>
      <c r="C840" s="19"/>
      <c r="D840" s="20"/>
      <c r="E840" s="19"/>
      <c r="F840" s="19"/>
      <c r="G840" s="19"/>
      <c r="H840" s="19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3.5" customHeight="1">
      <c r="A841" s="18"/>
      <c r="B841" s="19"/>
      <c r="C841" s="19"/>
      <c r="D841" s="20"/>
      <c r="E841" s="19"/>
      <c r="F841" s="19"/>
      <c r="G841" s="19"/>
      <c r="H841" s="19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3.5" customHeight="1">
      <c r="A842" s="18"/>
      <c r="B842" s="19"/>
      <c r="C842" s="19"/>
      <c r="D842" s="20"/>
      <c r="E842" s="19"/>
      <c r="F842" s="19"/>
      <c r="G842" s="19"/>
      <c r="H842" s="19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3.5" customHeight="1">
      <c r="A843" s="18"/>
      <c r="B843" s="19"/>
      <c r="C843" s="19"/>
      <c r="D843" s="20"/>
      <c r="E843" s="19"/>
      <c r="F843" s="19"/>
      <c r="G843" s="19"/>
      <c r="H843" s="19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3.5" customHeight="1">
      <c r="A844" s="18"/>
      <c r="B844" s="19"/>
      <c r="C844" s="19"/>
      <c r="D844" s="20"/>
      <c r="E844" s="19"/>
      <c r="F844" s="19"/>
      <c r="G844" s="19"/>
      <c r="H844" s="19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3.5" customHeight="1">
      <c r="A845" s="18"/>
      <c r="B845" s="19"/>
      <c r="C845" s="19"/>
      <c r="D845" s="20"/>
      <c r="E845" s="19"/>
      <c r="F845" s="19"/>
      <c r="G845" s="19"/>
      <c r="H845" s="19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3.5" customHeight="1">
      <c r="A846" s="18"/>
      <c r="B846" s="19"/>
      <c r="C846" s="19"/>
      <c r="D846" s="20"/>
      <c r="E846" s="19"/>
      <c r="F846" s="19"/>
      <c r="G846" s="19"/>
      <c r="H846" s="19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3.5" customHeight="1">
      <c r="A847" s="18"/>
      <c r="B847" s="19"/>
      <c r="C847" s="19"/>
      <c r="D847" s="20"/>
      <c r="E847" s="19"/>
      <c r="F847" s="19"/>
      <c r="G847" s="19"/>
      <c r="H847" s="19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3.5" customHeight="1">
      <c r="A848" s="18"/>
      <c r="B848" s="19"/>
      <c r="C848" s="19"/>
      <c r="D848" s="20"/>
      <c r="E848" s="19"/>
      <c r="F848" s="19"/>
      <c r="G848" s="19"/>
      <c r="H848" s="19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3.5" customHeight="1">
      <c r="A849" s="18"/>
      <c r="B849" s="19"/>
      <c r="C849" s="19"/>
      <c r="D849" s="20"/>
      <c r="E849" s="19"/>
      <c r="F849" s="19"/>
      <c r="G849" s="19"/>
      <c r="H849" s="19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3.5" customHeight="1">
      <c r="A850" s="18"/>
      <c r="B850" s="19"/>
      <c r="C850" s="19"/>
      <c r="D850" s="20"/>
      <c r="E850" s="19"/>
      <c r="F850" s="19"/>
      <c r="G850" s="19"/>
      <c r="H850" s="19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3.5" customHeight="1">
      <c r="A851" s="18"/>
      <c r="B851" s="19"/>
      <c r="C851" s="19"/>
      <c r="D851" s="20"/>
      <c r="E851" s="19"/>
      <c r="F851" s="19"/>
      <c r="G851" s="19"/>
      <c r="H851" s="19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3.5" customHeight="1">
      <c r="A852" s="18"/>
      <c r="B852" s="19"/>
      <c r="C852" s="19"/>
      <c r="D852" s="20"/>
      <c r="E852" s="19"/>
      <c r="F852" s="19"/>
      <c r="G852" s="19"/>
      <c r="H852" s="19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3.5" customHeight="1">
      <c r="A853" s="18"/>
      <c r="B853" s="19"/>
      <c r="C853" s="19"/>
      <c r="D853" s="20"/>
      <c r="E853" s="19"/>
      <c r="F853" s="19"/>
      <c r="G853" s="19"/>
      <c r="H853" s="19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3.5" customHeight="1">
      <c r="A854" s="18"/>
      <c r="B854" s="19"/>
      <c r="C854" s="19"/>
      <c r="D854" s="20"/>
      <c r="E854" s="19"/>
      <c r="F854" s="19"/>
      <c r="G854" s="19"/>
      <c r="H854" s="19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3.5" customHeight="1">
      <c r="A855" s="18"/>
      <c r="B855" s="19"/>
      <c r="C855" s="19"/>
      <c r="D855" s="20"/>
      <c r="E855" s="19"/>
      <c r="F855" s="19"/>
      <c r="G855" s="19"/>
      <c r="H855" s="19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3.5" customHeight="1">
      <c r="A856" s="18"/>
      <c r="B856" s="19"/>
      <c r="C856" s="19"/>
      <c r="D856" s="20"/>
      <c r="E856" s="19"/>
      <c r="F856" s="19"/>
      <c r="G856" s="19"/>
      <c r="H856" s="19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3.5" customHeight="1">
      <c r="A857" s="18"/>
      <c r="B857" s="19"/>
      <c r="C857" s="19"/>
      <c r="D857" s="20"/>
      <c r="E857" s="19"/>
      <c r="F857" s="19"/>
      <c r="G857" s="19"/>
      <c r="H857" s="19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3.5" customHeight="1">
      <c r="A858" s="18"/>
      <c r="B858" s="19"/>
      <c r="C858" s="19"/>
      <c r="D858" s="20"/>
      <c r="E858" s="19"/>
      <c r="F858" s="19"/>
      <c r="G858" s="19"/>
      <c r="H858" s="19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3.5" customHeight="1">
      <c r="A859" s="18"/>
      <c r="B859" s="19"/>
      <c r="C859" s="19"/>
      <c r="D859" s="20"/>
      <c r="E859" s="19"/>
      <c r="F859" s="19"/>
      <c r="G859" s="19"/>
      <c r="H859" s="19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3.5" customHeight="1">
      <c r="A860" s="18"/>
      <c r="B860" s="19"/>
      <c r="C860" s="19"/>
      <c r="D860" s="20"/>
      <c r="E860" s="19"/>
      <c r="F860" s="19"/>
      <c r="G860" s="19"/>
      <c r="H860" s="19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3.5" customHeight="1">
      <c r="A861" s="18"/>
      <c r="B861" s="19"/>
      <c r="C861" s="19"/>
      <c r="D861" s="20"/>
      <c r="E861" s="19"/>
      <c r="F861" s="19"/>
      <c r="G861" s="19"/>
      <c r="H861" s="19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3.5" customHeight="1">
      <c r="A862" s="18"/>
      <c r="B862" s="19"/>
      <c r="C862" s="19"/>
      <c r="D862" s="20"/>
      <c r="E862" s="19"/>
      <c r="F862" s="19"/>
      <c r="G862" s="19"/>
      <c r="H862" s="19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3.5" customHeight="1">
      <c r="A863" s="18"/>
      <c r="B863" s="19"/>
      <c r="C863" s="19"/>
      <c r="D863" s="20"/>
      <c r="E863" s="19"/>
      <c r="F863" s="19"/>
      <c r="G863" s="19"/>
      <c r="H863" s="19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3.5" customHeight="1">
      <c r="A864" s="18"/>
      <c r="B864" s="19"/>
      <c r="C864" s="19"/>
      <c r="D864" s="20"/>
      <c r="E864" s="19"/>
      <c r="F864" s="19"/>
      <c r="G864" s="19"/>
      <c r="H864" s="19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3.5" customHeight="1">
      <c r="A865" s="18"/>
      <c r="B865" s="19"/>
      <c r="C865" s="19"/>
      <c r="D865" s="20"/>
      <c r="E865" s="19"/>
      <c r="F865" s="19"/>
      <c r="G865" s="19"/>
      <c r="H865" s="19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3.5" customHeight="1">
      <c r="A866" s="18"/>
      <c r="B866" s="19"/>
      <c r="C866" s="19"/>
      <c r="D866" s="20"/>
      <c r="E866" s="19"/>
      <c r="F866" s="19"/>
      <c r="G866" s="19"/>
      <c r="H866" s="19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3.5" customHeight="1">
      <c r="A867" s="18"/>
      <c r="B867" s="19"/>
      <c r="C867" s="19"/>
      <c r="D867" s="20"/>
      <c r="E867" s="19"/>
      <c r="F867" s="19"/>
      <c r="G867" s="19"/>
      <c r="H867" s="19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3.5" customHeight="1">
      <c r="A868" s="18"/>
      <c r="B868" s="19"/>
      <c r="C868" s="19"/>
      <c r="D868" s="20"/>
      <c r="E868" s="19"/>
      <c r="F868" s="19"/>
      <c r="G868" s="19"/>
      <c r="H868" s="19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3.5" customHeight="1">
      <c r="A869" s="18"/>
      <c r="B869" s="19"/>
      <c r="C869" s="19"/>
      <c r="D869" s="20"/>
      <c r="E869" s="19"/>
      <c r="F869" s="19"/>
      <c r="G869" s="19"/>
      <c r="H869" s="19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3.5" customHeight="1">
      <c r="A870" s="18"/>
      <c r="B870" s="19"/>
      <c r="C870" s="19"/>
      <c r="D870" s="20"/>
      <c r="E870" s="19"/>
      <c r="F870" s="19"/>
      <c r="G870" s="19"/>
      <c r="H870" s="19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3.5" customHeight="1">
      <c r="A871" s="18"/>
      <c r="B871" s="19"/>
      <c r="C871" s="19"/>
      <c r="D871" s="20"/>
      <c r="E871" s="19"/>
      <c r="F871" s="19"/>
      <c r="G871" s="19"/>
      <c r="H871" s="19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3.5" customHeight="1">
      <c r="A872" s="18"/>
      <c r="B872" s="19"/>
      <c r="C872" s="19"/>
      <c r="D872" s="20"/>
      <c r="E872" s="19"/>
      <c r="F872" s="19"/>
      <c r="G872" s="19"/>
      <c r="H872" s="19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3.5" customHeight="1">
      <c r="A873" s="18"/>
      <c r="B873" s="19"/>
      <c r="C873" s="19"/>
      <c r="D873" s="20"/>
      <c r="E873" s="19"/>
      <c r="F873" s="19"/>
      <c r="G873" s="19"/>
      <c r="H873" s="19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3.5" customHeight="1">
      <c r="A874" s="18"/>
      <c r="B874" s="19"/>
      <c r="C874" s="19"/>
      <c r="D874" s="20"/>
      <c r="E874" s="19"/>
      <c r="F874" s="19"/>
      <c r="G874" s="19"/>
      <c r="H874" s="19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3.5" customHeight="1">
      <c r="A875" s="18"/>
      <c r="B875" s="19"/>
      <c r="C875" s="19"/>
      <c r="D875" s="20"/>
      <c r="E875" s="19"/>
      <c r="F875" s="19"/>
      <c r="G875" s="19"/>
      <c r="H875" s="19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3.5" customHeight="1">
      <c r="A876" s="18"/>
      <c r="B876" s="19"/>
      <c r="C876" s="19"/>
      <c r="D876" s="20"/>
      <c r="E876" s="19"/>
      <c r="F876" s="19"/>
      <c r="G876" s="19"/>
      <c r="H876" s="19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3.5" customHeight="1">
      <c r="A877" s="18"/>
      <c r="B877" s="19"/>
      <c r="C877" s="19"/>
      <c r="D877" s="20"/>
      <c r="E877" s="19"/>
      <c r="F877" s="19"/>
      <c r="G877" s="19"/>
      <c r="H877" s="19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3.5" customHeight="1">
      <c r="A878" s="18"/>
      <c r="B878" s="19"/>
      <c r="C878" s="19"/>
      <c r="D878" s="20"/>
      <c r="E878" s="19"/>
      <c r="F878" s="19"/>
      <c r="G878" s="19"/>
      <c r="H878" s="19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3.5" customHeight="1">
      <c r="A879" s="18"/>
      <c r="B879" s="19"/>
      <c r="C879" s="19"/>
      <c r="D879" s="20"/>
      <c r="E879" s="19"/>
      <c r="F879" s="19"/>
      <c r="G879" s="19"/>
      <c r="H879" s="19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3.5" customHeight="1">
      <c r="A880" s="18"/>
      <c r="B880" s="19"/>
      <c r="C880" s="19"/>
      <c r="D880" s="20"/>
      <c r="E880" s="19"/>
      <c r="F880" s="19"/>
      <c r="G880" s="19"/>
      <c r="H880" s="19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3.5" customHeight="1">
      <c r="A881" s="18"/>
      <c r="B881" s="19"/>
      <c r="C881" s="19"/>
      <c r="D881" s="20"/>
      <c r="E881" s="19"/>
      <c r="F881" s="19"/>
      <c r="G881" s="19"/>
      <c r="H881" s="19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3.5" customHeight="1">
      <c r="A882" s="18"/>
      <c r="B882" s="19"/>
      <c r="C882" s="19"/>
      <c r="D882" s="20"/>
      <c r="E882" s="19"/>
      <c r="F882" s="19"/>
      <c r="G882" s="19"/>
      <c r="H882" s="19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3.5" customHeight="1">
      <c r="A883" s="18"/>
      <c r="B883" s="19"/>
      <c r="C883" s="19"/>
      <c r="D883" s="20"/>
      <c r="E883" s="19"/>
      <c r="F883" s="19"/>
      <c r="G883" s="19"/>
      <c r="H883" s="19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3.5" customHeight="1">
      <c r="A884" s="18"/>
      <c r="B884" s="19"/>
      <c r="C884" s="19"/>
      <c r="D884" s="20"/>
      <c r="E884" s="19"/>
      <c r="F884" s="19"/>
      <c r="G884" s="19"/>
      <c r="H884" s="19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3.5" customHeight="1">
      <c r="A885" s="18"/>
      <c r="B885" s="19"/>
      <c r="C885" s="19"/>
      <c r="D885" s="20"/>
      <c r="E885" s="19"/>
      <c r="F885" s="19"/>
      <c r="G885" s="19"/>
      <c r="H885" s="19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3.5" customHeight="1">
      <c r="A886" s="18"/>
      <c r="B886" s="19"/>
      <c r="C886" s="19"/>
      <c r="D886" s="20"/>
      <c r="E886" s="19"/>
      <c r="F886" s="19"/>
      <c r="G886" s="19"/>
      <c r="H886" s="19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3.5" customHeight="1">
      <c r="A887" s="18"/>
      <c r="B887" s="19"/>
      <c r="C887" s="19"/>
      <c r="D887" s="20"/>
      <c r="E887" s="19"/>
      <c r="F887" s="19"/>
      <c r="G887" s="19"/>
      <c r="H887" s="19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3.5" customHeight="1">
      <c r="A888" s="18"/>
      <c r="B888" s="19"/>
      <c r="C888" s="19"/>
      <c r="D888" s="20"/>
      <c r="E888" s="19"/>
      <c r="F888" s="19"/>
      <c r="G888" s="19"/>
      <c r="H888" s="19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3.5" customHeight="1">
      <c r="A889" s="18"/>
      <c r="B889" s="19"/>
      <c r="C889" s="19"/>
      <c r="D889" s="20"/>
      <c r="E889" s="19"/>
      <c r="F889" s="19"/>
      <c r="G889" s="19"/>
      <c r="H889" s="19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3.5" customHeight="1">
      <c r="A890" s="18"/>
      <c r="B890" s="19"/>
      <c r="C890" s="19"/>
      <c r="D890" s="20"/>
      <c r="E890" s="19"/>
      <c r="F890" s="19"/>
      <c r="G890" s="19"/>
      <c r="H890" s="19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3.5" customHeight="1">
      <c r="A891" s="18"/>
      <c r="B891" s="19"/>
      <c r="C891" s="19"/>
      <c r="D891" s="20"/>
      <c r="E891" s="19"/>
      <c r="F891" s="19"/>
      <c r="G891" s="19"/>
      <c r="H891" s="19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3.5" customHeight="1">
      <c r="A892" s="18"/>
      <c r="B892" s="19"/>
      <c r="C892" s="19"/>
      <c r="D892" s="20"/>
      <c r="E892" s="19"/>
      <c r="F892" s="19"/>
      <c r="G892" s="19"/>
      <c r="H892" s="19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3.5" customHeight="1">
      <c r="A893" s="18"/>
      <c r="B893" s="19"/>
      <c r="C893" s="19"/>
      <c r="D893" s="20"/>
      <c r="E893" s="19"/>
      <c r="F893" s="19"/>
      <c r="G893" s="19"/>
      <c r="H893" s="19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3.5" customHeight="1">
      <c r="A894" s="18"/>
      <c r="B894" s="19"/>
      <c r="C894" s="19"/>
      <c r="D894" s="20"/>
      <c r="E894" s="19"/>
      <c r="F894" s="19"/>
      <c r="G894" s="19"/>
      <c r="H894" s="19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3.5" customHeight="1">
      <c r="A895" s="18"/>
      <c r="B895" s="19"/>
      <c r="C895" s="19"/>
      <c r="D895" s="20"/>
      <c r="E895" s="19"/>
      <c r="F895" s="19"/>
      <c r="G895" s="19"/>
      <c r="H895" s="19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3.5" customHeight="1">
      <c r="A896" s="18"/>
      <c r="B896" s="19"/>
      <c r="C896" s="19"/>
      <c r="D896" s="20"/>
      <c r="E896" s="19"/>
      <c r="F896" s="19"/>
      <c r="G896" s="19"/>
      <c r="H896" s="19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3.5" customHeight="1">
      <c r="A897" s="18"/>
      <c r="B897" s="19"/>
      <c r="C897" s="19"/>
      <c r="D897" s="20"/>
      <c r="E897" s="19"/>
      <c r="F897" s="19"/>
      <c r="G897" s="19"/>
      <c r="H897" s="19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3.5" customHeight="1">
      <c r="A898" s="18"/>
      <c r="B898" s="19"/>
      <c r="C898" s="19"/>
      <c r="D898" s="20"/>
      <c r="E898" s="19"/>
      <c r="F898" s="19"/>
      <c r="G898" s="19"/>
      <c r="H898" s="19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3.5" customHeight="1">
      <c r="A899" s="18"/>
      <c r="B899" s="19"/>
      <c r="C899" s="19"/>
      <c r="D899" s="20"/>
      <c r="E899" s="19"/>
      <c r="F899" s="19"/>
      <c r="G899" s="19"/>
      <c r="H899" s="19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3.5" customHeight="1">
      <c r="A900" s="18"/>
      <c r="B900" s="19"/>
      <c r="C900" s="19"/>
      <c r="D900" s="20"/>
      <c r="E900" s="19"/>
      <c r="F900" s="19"/>
      <c r="G900" s="19"/>
      <c r="H900" s="19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3.5" customHeight="1">
      <c r="A901" s="18"/>
      <c r="B901" s="19"/>
      <c r="C901" s="19"/>
      <c r="D901" s="20"/>
      <c r="E901" s="19"/>
      <c r="F901" s="19"/>
      <c r="G901" s="19"/>
      <c r="H901" s="19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3.5" customHeight="1">
      <c r="A902" s="18"/>
      <c r="B902" s="19"/>
      <c r="C902" s="19"/>
      <c r="D902" s="20"/>
      <c r="E902" s="19"/>
      <c r="F902" s="19"/>
      <c r="G902" s="19"/>
      <c r="H902" s="19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3.5" customHeight="1">
      <c r="A903" s="18"/>
      <c r="B903" s="19"/>
      <c r="C903" s="19"/>
      <c r="D903" s="20"/>
      <c r="E903" s="19"/>
      <c r="F903" s="19"/>
      <c r="G903" s="19"/>
      <c r="H903" s="19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3.5" customHeight="1">
      <c r="A904" s="18"/>
      <c r="B904" s="19"/>
      <c r="C904" s="19"/>
      <c r="D904" s="20"/>
      <c r="E904" s="19"/>
      <c r="F904" s="19"/>
      <c r="G904" s="19"/>
      <c r="H904" s="19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3.5" customHeight="1">
      <c r="A905" s="18"/>
      <c r="B905" s="19"/>
      <c r="C905" s="19"/>
      <c r="D905" s="20"/>
      <c r="E905" s="19"/>
      <c r="F905" s="19"/>
      <c r="G905" s="19"/>
      <c r="H905" s="19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3.5" customHeight="1">
      <c r="A906" s="18"/>
      <c r="B906" s="19"/>
      <c r="C906" s="19"/>
      <c r="D906" s="20"/>
      <c r="E906" s="19"/>
      <c r="F906" s="19"/>
      <c r="G906" s="19"/>
      <c r="H906" s="19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3.5" customHeight="1">
      <c r="A907" s="18"/>
      <c r="B907" s="19"/>
      <c r="C907" s="19"/>
      <c r="D907" s="20"/>
      <c r="E907" s="19"/>
      <c r="F907" s="19"/>
      <c r="G907" s="19"/>
      <c r="H907" s="19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3.5" customHeight="1">
      <c r="A908" s="18"/>
      <c r="B908" s="19"/>
      <c r="C908" s="19"/>
      <c r="D908" s="20"/>
      <c r="E908" s="19"/>
      <c r="F908" s="19"/>
      <c r="G908" s="19"/>
      <c r="H908" s="19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3.5" customHeight="1">
      <c r="A909" s="18"/>
      <c r="B909" s="19"/>
      <c r="C909" s="19"/>
      <c r="D909" s="20"/>
      <c r="E909" s="19"/>
      <c r="F909" s="19"/>
      <c r="G909" s="19"/>
      <c r="H909" s="19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3.5" customHeight="1">
      <c r="A910" s="18"/>
      <c r="B910" s="19"/>
      <c r="C910" s="19"/>
      <c r="D910" s="20"/>
      <c r="E910" s="19"/>
      <c r="F910" s="19"/>
      <c r="G910" s="19"/>
      <c r="H910" s="19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3.5" customHeight="1">
      <c r="A911" s="18"/>
      <c r="B911" s="19"/>
      <c r="C911" s="19"/>
      <c r="D911" s="20"/>
      <c r="E911" s="19"/>
      <c r="F911" s="19"/>
      <c r="G911" s="19"/>
      <c r="H911" s="19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3.5" customHeight="1">
      <c r="A912" s="18"/>
      <c r="B912" s="19"/>
      <c r="C912" s="19"/>
      <c r="D912" s="20"/>
      <c r="E912" s="19"/>
      <c r="F912" s="19"/>
      <c r="G912" s="19"/>
      <c r="H912" s="19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3.5" customHeight="1">
      <c r="A913" s="18"/>
      <c r="B913" s="19"/>
      <c r="C913" s="19"/>
      <c r="D913" s="20"/>
      <c r="E913" s="19"/>
      <c r="F913" s="19"/>
      <c r="G913" s="19"/>
      <c r="H913" s="19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3.5" customHeight="1">
      <c r="A914" s="18"/>
      <c r="B914" s="19"/>
      <c r="C914" s="19"/>
      <c r="D914" s="20"/>
      <c r="E914" s="19"/>
      <c r="F914" s="19"/>
      <c r="G914" s="19"/>
      <c r="H914" s="19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3.5" customHeight="1">
      <c r="A915" s="18"/>
      <c r="B915" s="19"/>
      <c r="C915" s="19"/>
      <c r="D915" s="20"/>
      <c r="E915" s="19"/>
      <c r="F915" s="19"/>
      <c r="G915" s="19"/>
      <c r="H915" s="19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3.5" customHeight="1">
      <c r="A916" s="18"/>
      <c r="B916" s="19"/>
      <c r="C916" s="19"/>
      <c r="D916" s="20"/>
      <c r="E916" s="19"/>
      <c r="F916" s="19"/>
      <c r="G916" s="19"/>
      <c r="H916" s="19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3.5" customHeight="1">
      <c r="A917" s="18"/>
      <c r="B917" s="19"/>
      <c r="C917" s="19"/>
      <c r="D917" s="20"/>
      <c r="E917" s="19"/>
      <c r="F917" s="19"/>
      <c r="G917" s="19"/>
      <c r="H917" s="19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3.5" customHeight="1">
      <c r="A918" s="18"/>
      <c r="B918" s="19"/>
      <c r="C918" s="19"/>
      <c r="D918" s="20"/>
      <c r="E918" s="19"/>
      <c r="F918" s="19"/>
      <c r="G918" s="19"/>
      <c r="H918" s="19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3.5" customHeight="1">
      <c r="A919" s="18"/>
      <c r="B919" s="19"/>
      <c r="C919" s="19"/>
      <c r="D919" s="20"/>
      <c r="E919" s="19"/>
      <c r="F919" s="19"/>
      <c r="G919" s="19"/>
      <c r="H919" s="19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3.5" customHeight="1">
      <c r="A920" s="18"/>
      <c r="B920" s="19"/>
      <c r="C920" s="19"/>
      <c r="D920" s="20"/>
      <c r="E920" s="19"/>
      <c r="F920" s="19"/>
      <c r="G920" s="19"/>
      <c r="H920" s="19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3.5" customHeight="1">
      <c r="A921" s="18"/>
      <c r="B921" s="19"/>
      <c r="C921" s="19"/>
      <c r="D921" s="20"/>
      <c r="E921" s="19"/>
      <c r="F921" s="19"/>
      <c r="G921" s="19"/>
      <c r="H921" s="19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3.5" customHeight="1">
      <c r="A922" s="18"/>
      <c r="B922" s="19"/>
      <c r="C922" s="19"/>
      <c r="D922" s="20"/>
      <c r="E922" s="19"/>
      <c r="F922" s="19"/>
      <c r="G922" s="19"/>
      <c r="H922" s="19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3.5" customHeight="1">
      <c r="A923" s="18"/>
      <c r="B923" s="19"/>
      <c r="C923" s="19"/>
      <c r="D923" s="20"/>
      <c r="E923" s="19"/>
      <c r="F923" s="19"/>
      <c r="G923" s="19"/>
      <c r="H923" s="19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3.5" customHeight="1">
      <c r="A924" s="18"/>
      <c r="B924" s="19"/>
      <c r="C924" s="19"/>
      <c r="D924" s="20"/>
      <c r="E924" s="19"/>
      <c r="F924" s="19"/>
      <c r="G924" s="19"/>
      <c r="H924" s="19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3.5" customHeight="1">
      <c r="A925" s="18"/>
      <c r="B925" s="19"/>
      <c r="C925" s="19"/>
      <c r="D925" s="20"/>
      <c r="E925" s="19"/>
      <c r="F925" s="19"/>
      <c r="G925" s="19"/>
      <c r="H925" s="19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3.5" customHeight="1">
      <c r="A926" s="18"/>
      <c r="B926" s="19"/>
      <c r="C926" s="19"/>
      <c r="D926" s="20"/>
      <c r="E926" s="19"/>
      <c r="F926" s="19"/>
      <c r="G926" s="19"/>
      <c r="H926" s="19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3.5" customHeight="1">
      <c r="A927" s="18"/>
      <c r="B927" s="19"/>
      <c r="C927" s="19"/>
      <c r="D927" s="20"/>
      <c r="E927" s="19"/>
      <c r="F927" s="19"/>
      <c r="G927" s="19"/>
      <c r="H927" s="19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3.5" customHeight="1">
      <c r="A928" s="18"/>
      <c r="B928" s="19"/>
      <c r="C928" s="19"/>
      <c r="D928" s="20"/>
      <c r="E928" s="19"/>
      <c r="F928" s="19"/>
      <c r="G928" s="19"/>
      <c r="H928" s="19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3.5" customHeight="1">
      <c r="A929" s="18"/>
      <c r="B929" s="19"/>
      <c r="C929" s="19"/>
      <c r="D929" s="20"/>
      <c r="E929" s="19"/>
      <c r="F929" s="19"/>
      <c r="G929" s="19"/>
      <c r="H929" s="19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3.5" customHeight="1">
      <c r="A930" s="18"/>
      <c r="B930" s="19"/>
      <c r="C930" s="19"/>
      <c r="D930" s="20"/>
      <c r="E930" s="19"/>
      <c r="F930" s="19"/>
      <c r="G930" s="19"/>
      <c r="H930" s="19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3.5" customHeight="1">
      <c r="A931" s="18"/>
      <c r="B931" s="19"/>
      <c r="C931" s="19"/>
      <c r="D931" s="20"/>
      <c r="E931" s="19"/>
      <c r="F931" s="19"/>
      <c r="G931" s="19"/>
      <c r="H931" s="19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3.5" customHeight="1">
      <c r="A932" s="18"/>
      <c r="B932" s="19"/>
      <c r="C932" s="19"/>
      <c r="D932" s="20"/>
      <c r="E932" s="19"/>
      <c r="F932" s="19"/>
      <c r="G932" s="19"/>
      <c r="H932" s="19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3.5" customHeight="1">
      <c r="A933" s="18"/>
      <c r="B933" s="19"/>
      <c r="C933" s="19"/>
      <c r="D933" s="20"/>
      <c r="E933" s="19"/>
      <c r="F933" s="19"/>
      <c r="G933" s="19"/>
      <c r="H933" s="19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3.5" customHeight="1">
      <c r="A934" s="18"/>
      <c r="B934" s="19"/>
      <c r="C934" s="19"/>
      <c r="D934" s="20"/>
      <c r="E934" s="19"/>
      <c r="F934" s="19"/>
      <c r="G934" s="19"/>
      <c r="H934" s="19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3.5" customHeight="1">
      <c r="A935" s="18"/>
      <c r="B935" s="19"/>
      <c r="C935" s="19"/>
      <c r="D935" s="20"/>
      <c r="E935" s="19"/>
      <c r="F935" s="19"/>
      <c r="G935" s="19"/>
      <c r="H935" s="19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3.5" customHeight="1">
      <c r="A936" s="18"/>
      <c r="B936" s="19"/>
      <c r="C936" s="19"/>
      <c r="D936" s="20"/>
      <c r="E936" s="19"/>
      <c r="F936" s="19"/>
      <c r="G936" s="19"/>
      <c r="H936" s="19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3.5" customHeight="1">
      <c r="A937" s="18"/>
      <c r="B937" s="19"/>
      <c r="C937" s="19"/>
      <c r="D937" s="20"/>
      <c r="E937" s="19"/>
      <c r="F937" s="19"/>
      <c r="G937" s="19"/>
      <c r="H937" s="19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3.5" customHeight="1">
      <c r="A938" s="18"/>
      <c r="B938" s="19"/>
      <c r="C938" s="19"/>
      <c r="D938" s="20"/>
      <c r="E938" s="19"/>
      <c r="F938" s="19"/>
      <c r="G938" s="19"/>
      <c r="H938" s="19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3.5" customHeight="1">
      <c r="A939" s="18"/>
      <c r="B939" s="19"/>
      <c r="C939" s="19"/>
      <c r="D939" s="20"/>
      <c r="E939" s="19"/>
      <c r="F939" s="19"/>
      <c r="G939" s="19"/>
      <c r="H939" s="19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3.5" customHeight="1">
      <c r="A940" s="18"/>
      <c r="B940" s="19"/>
      <c r="C940" s="19"/>
      <c r="D940" s="20"/>
      <c r="E940" s="19"/>
      <c r="F940" s="19"/>
      <c r="G940" s="19"/>
      <c r="H940" s="19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3.5" customHeight="1">
      <c r="A941" s="18"/>
      <c r="B941" s="19"/>
      <c r="C941" s="19"/>
      <c r="D941" s="20"/>
      <c r="E941" s="19"/>
      <c r="F941" s="19"/>
      <c r="G941" s="19"/>
      <c r="H941" s="19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3.5" customHeight="1">
      <c r="A942" s="18"/>
      <c r="B942" s="19"/>
      <c r="C942" s="19"/>
      <c r="D942" s="20"/>
      <c r="E942" s="19"/>
      <c r="F942" s="19"/>
      <c r="G942" s="19"/>
      <c r="H942" s="19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3.5" customHeight="1">
      <c r="A943" s="18"/>
      <c r="B943" s="19"/>
      <c r="C943" s="19"/>
      <c r="D943" s="20"/>
      <c r="E943" s="19"/>
      <c r="F943" s="19"/>
      <c r="G943" s="19"/>
      <c r="H943" s="19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3.5" customHeight="1">
      <c r="A944" s="18"/>
      <c r="B944" s="19"/>
      <c r="C944" s="19"/>
      <c r="D944" s="20"/>
      <c r="E944" s="19"/>
      <c r="F944" s="19"/>
      <c r="G944" s="19"/>
      <c r="H944" s="19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3.5" customHeight="1">
      <c r="A945" s="18"/>
      <c r="B945" s="19"/>
      <c r="C945" s="19"/>
      <c r="D945" s="20"/>
      <c r="E945" s="19"/>
      <c r="F945" s="19"/>
      <c r="G945" s="19"/>
      <c r="H945" s="19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3.5" customHeight="1">
      <c r="A946" s="18"/>
      <c r="B946" s="19"/>
      <c r="C946" s="19"/>
      <c r="D946" s="20"/>
      <c r="E946" s="19"/>
      <c r="F946" s="19"/>
      <c r="G946" s="19"/>
      <c r="H946" s="19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3.5" customHeight="1">
      <c r="A947" s="18"/>
      <c r="B947" s="19"/>
      <c r="C947" s="19"/>
      <c r="D947" s="20"/>
      <c r="E947" s="19"/>
      <c r="F947" s="19"/>
      <c r="G947" s="19"/>
      <c r="H947" s="19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3.5" customHeight="1">
      <c r="A948" s="18"/>
      <c r="B948" s="19"/>
      <c r="C948" s="19"/>
      <c r="D948" s="20"/>
      <c r="E948" s="19"/>
      <c r="F948" s="19"/>
      <c r="G948" s="19"/>
      <c r="H948" s="19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3.5" customHeight="1">
      <c r="A949" s="18"/>
      <c r="B949" s="19"/>
      <c r="C949" s="19"/>
      <c r="D949" s="20"/>
      <c r="E949" s="19"/>
      <c r="F949" s="19"/>
      <c r="G949" s="19"/>
      <c r="H949" s="19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3.5" customHeight="1">
      <c r="A950" s="18"/>
      <c r="B950" s="19"/>
      <c r="C950" s="19"/>
      <c r="D950" s="20"/>
      <c r="E950" s="19"/>
      <c r="F950" s="19"/>
      <c r="G950" s="19"/>
      <c r="H950" s="19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3.5" customHeight="1">
      <c r="A951" s="18"/>
      <c r="B951" s="19"/>
      <c r="C951" s="19"/>
      <c r="D951" s="20"/>
      <c r="E951" s="19"/>
      <c r="F951" s="19"/>
      <c r="G951" s="19"/>
      <c r="H951" s="19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3.5" customHeight="1">
      <c r="A952" s="18"/>
      <c r="B952" s="19"/>
      <c r="C952" s="19"/>
      <c r="D952" s="20"/>
      <c r="E952" s="19"/>
      <c r="F952" s="19"/>
      <c r="G952" s="19"/>
      <c r="H952" s="19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3.5" customHeight="1">
      <c r="A953" s="18"/>
      <c r="B953" s="19"/>
      <c r="C953" s="19"/>
      <c r="D953" s="20"/>
      <c r="E953" s="19"/>
      <c r="F953" s="19"/>
      <c r="G953" s="19"/>
      <c r="H953" s="19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3.5" customHeight="1">
      <c r="A954" s="18"/>
      <c r="B954" s="19"/>
      <c r="C954" s="19"/>
      <c r="D954" s="20"/>
      <c r="E954" s="19"/>
      <c r="F954" s="19"/>
      <c r="G954" s="19"/>
      <c r="H954" s="19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3.5" customHeight="1">
      <c r="A955" s="18"/>
      <c r="B955" s="19"/>
      <c r="C955" s="19"/>
      <c r="D955" s="20"/>
      <c r="E955" s="19"/>
      <c r="F955" s="19"/>
      <c r="G955" s="19"/>
      <c r="H955" s="19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3.5" customHeight="1">
      <c r="A956" s="18"/>
      <c r="B956" s="19"/>
      <c r="C956" s="19"/>
      <c r="D956" s="20"/>
      <c r="E956" s="19"/>
      <c r="F956" s="19"/>
      <c r="G956" s="19"/>
      <c r="H956" s="19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3.5" customHeight="1">
      <c r="A957" s="18"/>
      <c r="B957" s="19"/>
      <c r="C957" s="19"/>
      <c r="D957" s="20"/>
      <c r="E957" s="19"/>
      <c r="F957" s="19"/>
      <c r="G957" s="19"/>
      <c r="H957" s="19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3.5" customHeight="1">
      <c r="A958" s="18"/>
      <c r="B958" s="19"/>
      <c r="C958" s="19"/>
      <c r="D958" s="20"/>
      <c r="E958" s="19"/>
      <c r="F958" s="19"/>
      <c r="G958" s="19"/>
      <c r="H958" s="19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3.5" customHeight="1">
      <c r="A959" s="18"/>
      <c r="B959" s="19"/>
      <c r="C959" s="19"/>
      <c r="D959" s="20"/>
      <c r="E959" s="19"/>
      <c r="F959" s="19"/>
      <c r="G959" s="19"/>
      <c r="H959" s="19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3.5" customHeight="1">
      <c r="A960" s="18"/>
      <c r="B960" s="19"/>
      <c r="C960" s="19"/>
      <c r="D960" s="20"/>
      <c r="E960" s="19"/>
      <c r="F960" s="19"/>
      <c r="G960" s="19"/>
      <c r="H960" s="19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3.5" customHeight="1">
      <c r="A961" s="18"/>
      <c r="B961" s="19"/>
      <c r="C961" s="19"/>
      <c r="D961" s="20"/>
      <c r="E961" s="19"/>
      <c r="F961" s="19"/>
      <c r="G961" s="19"/>
      <c r="H961" s="19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3.5" customHeight="1">
      <c r="A962" s="18"/>
      <c r="B962" s="19"/>
      <c r="C962" s="19"/>
      <c r="D962" s="20"/>
      <c r="E962" s="19"/>
      <c r="F962" s="19"/>
      <c r="G962" s="19"/>
      <c r="H962" s="19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3.5" customHeight="1">
      <c r="A963" s="18"/>
      <c r="B963" s="19"/>
      <c r="C963" s="19"/>
      <c r="D963" s="20"/>
      <c r="E963" s="19"/>
      <c r="F963" s="19"/>
      <c r="G963" s="19"/>
      <c r="H963" s="19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3.5" customHeight="1">
      <c r="A964" s="18"/>
      <c r="B964" s="19"/>
      <c r="C964" s="19"/>
      <c r="D964" s="20"/>
      <c r="E964" s="19"/>
      <c r="F964" s="19"/>
      <c r="G964" s="19"/>
      <c r="H964" s="19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3.5" customHeight="1">
      <c r="A965" s="18"/>
      <c r="B965" s="19"/>
      <c r="C965" s="19"/>
      <c r="D965" s="20"/>
      <c r="E965" s="19"/>
      <c r="F965" s="19"/>
      <c r="G965" s="19"/>
      <c r="H965" s="19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3.5" customHeight="1">
      <c r="A966" s="18"/>
      <c r="B966" s="19"/>
      <c r="C966" s="19"/>
      <c r="D966" s="20"/>
      <c r="E966" s="19"/>
      <c r="F966" s="19"/>
      <c r="G966" s="19"/>
      <c r="H966" s="19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3.5" customHeight="1">
      <c r="A967" s="18"/>
      <c r="B967" s="19"/>
      <c r="C967" s="19"/>
      <c r="D967" s="20"/>
      <c r="E967" s="19"/>
      <c r="F967" s="19"/>
      <c r="G967" s="19"/>
      <c r="H967" s="19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3.5" customHeight="1">
      <c r="A968" s="18"/>
      <c r="B968" s="19"/>
      <c r="C968" s="19"/>
      <c r="D968" s="20"/>
      <c r="E968" s="19"/>
      <c r="F968" s="19"/>
      <c r="G968" s="19"/>
      <c r="H968" s="19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3.5" customHeight="1">
      <c r="A969" s="18"/>
      <c r="B969" s="19"/>
      <c r="C969" s="19"/>
      <c r="D969" s="20"/>
      <c r="E969" s="19"/>
      <c r="F969" s="19"/>
      <c r="G969" s="19"/>
      <c r="H969" s="19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3.5" customHeight="1">
      <c r="A970" s="18"/>
      <c r="B970" s="19"/>
      <c r="C970" s="19"/>
      <c r="D970" s="20"/>
      <c r="E970" s="19"/>
      <c r="F970" s="19"/>
      <c r="G970" s="19"/>
      <c r="H970" s="19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3.5" customHeight="1">
      <c r="A971" s="18"/>
      <c r="B971" s="19"/>
      <c r="C971" s="19"/>
      <c r="D971" s="20"/>
      <c r="E971" s="19"/>
      <c r="F971" s="19"/>
      <c r="G971" s="19"/>
      <c r="H971" s="19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3.5" customHeight="1">
      <c r="A972" s="18"/>
      <c r="B972" s="19"/>
      <c r="C972" s="19"/>
      <c r="D972" s="20"/>
      <c r="E972" s="19"/>
      <c r="F972" s="19"/>
      <c r="G972" s="19"/>
      <c r="H972" s="19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3.5" customHeight="1">
      <c r="A973" s="18"/>
      <c r="B973" s="19"/>
      <c r="C973" s="19"/>
      <c r="D973" s="20"/>
      <c r="E973" s="19"/>
      <c r="F973" s="19"/>
      <c r="G973" s="19"/>
      <c r="H973" s="19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3.5" customHeight="1">
      <c r="A974" s="18"/>
      <c r="B974" s="19"/>
      <c r="C974" s="19"/>
      <c r="D974" s="20"/>
      <c r="E974" s="19"/>
      <c r="F974" s="19"/>
      <c r="G974" s="19"/>
      <c r="H974" s="19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3.5" customHeight="1">
      <c r="A975" s="18"/>
      <c r="B975" s="19"/>
      <c r="C975" s="19"/>
      <c r="D975" s="20"/>
      <c r="E975" s="19"/>
      <c r="F975" s="19"/>
      <c r="G975" s="19"/>
      <c r="H975" s="19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3.5" customHeight="1">
      <c r="A976" s="18"/>
      <c r="B976" s="19"/>
      <c r="C976" s="19"/>
      <c r="D976" s="20"/>
      <c r="E976" s="19"/>
      <c r="F976" s="19"/>
      <c r="G976" s="19"/>
      <c r="H976" s="19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3.5" customHeight="1">
      <c r="A977" s="18"/>
      <c r="B977" s="19"/>
      <c r="C977" s="19"/>
      <c r="D977" s="20"/>
      <c r="E977" s="19"/>
      <c r="F977" s="19"/>
      <c r="G977" s="19"/>
      <c r="H977" s="19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3.5" customHeight="1">
      <c r="A978" s="18"/>
      <c r="B978" s="19"/>
      <c r="C978" s="19"/>
      <c r="D978" s="20"/>
      <c r="E978" s="19"/>
      <c r="F978" s="19"/>
      <c r="G978" s="19"/>
      <c r="H978" s="19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3.5" customHeight="1">
      <c r="A979" s="18"/>
      <c r="B979" s="19"/>
      <c r="C979" s="19"/>
      <c r="D979" s="20"/>
      <c r="E979" s="19"/>
      <c r="F979" s="19"/>
      <c r="G979" s="19"/>
      <c r="H979" s="19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3.5" customHeight="1">
      <c r="A980" s="18"/>
      <c r="B980" s="19"/>
      <c r="C980" s="19"/>
      <c r="D980" s="20"/>
      <c r="E980" s="19"/>
      <c r="F980" s="19"/>
      <c r="G980" s="19"/>
      <c r="H980" s="19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3.5" customHeight="1">
      <c r="A981" s="18"/>
      <c r="B981" s="19"/>
      <c r="C981" s="19"/>
      <c r="D981" s="20"/>
      <c r="E981" s="19"/>
      <c r="F981" s="19"/>
      <c r="G981" s="19"/>
      <c r="H981" s="19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3.5" customHeight="1">
      <c r="A982" s="18"/>
      <c r="B982" s="19"/>
      <c r="C982" s="19"/>
      <c r="D982" s="20"/>
      <c r="E982" s="19"/>
      <c r="F982" s="19"/>
      <c r="G982" s="19"/>
      <c r="H982" s="19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3.5" customHeight="1">
      <c r="A983" s="18"/>
      <c r="B983" s="19"/>
      <c r="C983" s="19"/>
      <c r="D983" s="20"/>
      <c r="E983" s="19"/>
      <c r="F983" s="19"/>
      <c r="G983" s="19"/>
      <c r="H983" s="19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3.5" customHeight="1">
      <c r="A984" s="18"/>
      <c r="B984" s="19"/>
      <c r="C984" s="19"/>
      <c r="D984" s="20"/>
      <c r="E984" s="19"/>
      <c r="F984" s="19"/>
      <c r="G984" s="19"/>
      <c r="H984" s="19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3.5" customHeight="1">
      <c r="A985" s="18"/>
      <c r="B985" s="19"/>
      <c r="C985" s="19"/>
      <c r="D985" s="20"/>
      <c r="E985" s="19"/>
      <c r="F985" s="19"/>
      <c r="G985" s="19"/>
      <c r="H985" s="19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3.5" customHeight="1">
      <c r="A986" s="18"/>
      <c r="B986" s="19"/>
      <c r="C986" s="19"/>
      <c r="D986" s="20"/>
      <c r="E986" s="19"/>
      <c r="F986" s="19"/>
      <c r="G986" s="19"/>
      <c r="H986" s="19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3.5" customHeight="1">
      <c r="A987" s="18"/>
      <c r="B987" s="19"/>
      <c r="C987" s="19"/>
      <c r="D987" s="20"/>
      <c r="E987" s="19"/>
      <c r="F987" s="19"/>
      <c r="G987" s="19"/>
      <c r="H987" s="19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3.5" customHeight="1">
      <c r="A988" s="18"/>
      <c r="B988" s="19"/>
      <c r="C988" s="19"/>
      <c r="D988" s="20"/>
      <c r="E988" s="19"/>
      <c r="F988" s="19"/>
      <c r="G988" s="19"/>
      <c r="H988" s="19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3.5" customHeight="1">
      <c r="A989" s="18"/>
      <c r="B989" s="19"/>
      <c r="C989" s="19"/>
      <c r="D989" s="20"/>
      <c r="E989" s="19"/>
      <c r="F989" s="19"/>
      <c r="G989" s="19"/>
      <c r="H989" s="19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3.5" customHeight="1">
      <c r="A990" s="18"/>
      <c r="B990" s="19"/>
      <c r="C990" s="19"/>
      <c r="D990" s="20"/>
      <c r="E990" s="19"/>
      <c r="F990" s="19"/>
      <c r="G990" s="19"/>
      <c r="H990" s="19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3.5" customHeight="1">
      <c r="A991" s="18"/>
      <c r="B991" s="19"/>
      <c r="C991" s="19"/>
      <c r="D991" s="20"/>
      <c r="E991" s="19"/>
      <c r="F991" s="19"/>
      <c r="G991" s="19"/>
      <c r="H991" s="19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3.5" customHeight="1">
      <c r="A992" s="18"/>
      <c r="B992" s="19"/>
      <c r="C992" s="19"/>
      <c r="D992" s="20"/>
      <c r="E992" s="19"/>
      <c r="F992" s="19"/>
      <c r="G992" s="19"/>
      <c r="H992" s="19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3.5" customHeight="1">
      <c r="A993" s="18"/>
      <c r="B993" s="19"/>
      <c r="C993" s="19"/>
      <c r="D993" s="20"/>
      <c r="E993" s="19"/>
      <c r="F993" s="19"/>
      <c r="G993" s="19"/>
      <c r="H993" s="19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3.5" customHeight="1">
      <c r="A994" s="18"/>
      <c r="B994" s="19"/>
      <c r="C994" s="19"/>
      <c r="D994" s="20"/>
      <c r="E994" s="19"/>
      <c r="F994" s="19"/>
      <c r="G994" s="19"/>
      <c r="H994" s="19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3.5" customHeight="1">
      <c r="A995" s="18"/>
      <c r="B995" s="19"/>
      <c r="C995" s="19"/>
      <c r="D995" s="20"/>
      <c r="E995" s="19"/>
      <c r="F995" s="19"/>
      <c r="G995" s="19"/>
      <c r="H995" s="19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3.5" customHeight="1">
      <c r="A996" s="18"/>
      <c r="B996" s="19"/>
      <c r="C996" s="19"/>
      <c r="D996" s="20"/>
      <c r="E996" s="19"/>
      <c r="F996" s="19"/>
      <c r="G996" s="19"/>
      <c r="H996" s="19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3.5" customHeight="1">
      <c r="A997" s="18"/>
      <c r="B997" s="19"/>
      <c r="C997" s="19"/>
      <c r="D997" s="20"/>
      <c r="E997" s="19"/>
      <c r="F997" s="19"/>
      <c r="G997" s="19"/>
      <c r="H997" s="19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3.5" customHeight="1">
      <c r="A998" s="18"/>
      <c r="B998" s="19"/>
      <c r="C998" s="19"/>
      <c r="D998" s="20"/>
      <c r="E998" s="19"/>
      <c r="F998" s="19"/>
      <c r="G998" s="19"/>
      <c r="H998" s="19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13.5" customHeight="1">
      <c r="A999" s="18"/>
      <c r="B999" s="19"/>
      <c r="C999" s="19"/>
      <c r="D999" s="20"/>
      <c r="E999" s="19"/>
      <c r="F999" s="19"/>
      <c r="G999" s="19"/>
      <c r="H999" s="19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ht="13.5" customHeight="1">
      <c r="A1000" s="18"/>
      <c r="B1000" s="19"/>
      <c r="C1000" s="19"/>
      <c r="D1000" s="20"/>
      <c r="E1000" s="19"/>
      <c r="F1000" s="19"/>
      <c r="G1000" s="19"/>
      <c r="H1000" s="19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autoFilter ref="$A$1:$H$745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>
      <c r="A2" s="22" t="s">
        <v>640</v>
      </c>
      <c r="B2" s="22" t="s">
        <v>641</v>
      </c>
      <c r="C2" s="22" t="s">
        <v>642</v>
      </c>
      <c r="D2" s="22" t="s">
        <v>643</v>
      </c>
      <c r="E2" s="22" t="s">
        <v>644</v>
      </c>
      <c r="F2" s="22" t="s">
        <v>645</v>
      </c>
      <c r="G2" s="22" t="s">
        <v>646</v>
      </c>
      <c r="H2" s="22" t="s">
        <v>647</v>
      </c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>
      <c r="A3" s="21">
        <f>HOUR('Solar Power Plant Data'!A2)</f>
        <v>0</v>
      </c>
      <c r="B3" s="21">
        <f>DAY('Solar Power Plant Data'!A2)</f>
        <v>1</v>
      </c>
      <c r="C3" s="21">
        <f>MONTH('Solar Power Plant Data'!A2)</f>
        <v>1</v>
      </c>
      <c r="D3" s="21" t="str">
        <f>TEXT('Solar Power Plant Data'!A2,"ddd")</f>
        <v>Sun</v>
      </c>
      <c r="E3" s="21">
        <f t="shared" ref="E3:E746" si="1">IF(OR(D3="Sat",D3="Sun"),1,0)</f>
        <v>1</v>
      </c>
      <c r="F3" s="21" t="str">
        <f t="array" ref="F3">IF(ROW()&lt;25,"",INDEX('Solar Power Plant Data'!H:H,ROW()-1))</f>
        <v/>
      </c>
      <c r="G3" s="21" t="str">
        <f>IF(ROW()&lt;25,"",AVERAGE(OFFSET('Solar Power Plant Data'!H25,-23,0,24,1)))
</f>
        <v/>
      </c>
      <c r="H3" s="21">
        <f>'Solar Power Plant Data'!H2/MAX('Solar Power Plant Data'!E2,0.0001)
</f>
        <v>0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>
      <c r="A4" s="21">
        <f>HOUR('Solar Power Plant Data'!A3)</f>
        <v>1</v>
      </c>
      <c r="B4" s="21">
        <f>DAY('Solar Power Plant Data'!A3)</f>
        <v>1</v>
      </c>
      <c r="C4" s="21">
        <f>MONTH('Solar Power Plant Data'!A3)</f>
        <v>1</v>
      </c>
      <c r="D4" s="21" t="str">
        <f>TEXT('Solar Power Plant Data'!A3,"ddd")</f>
        <v>Sun</v>
      </c>
      <c r="E4" s="21">
        <f t="shared" si="1"/>
        <v>1</v>
      </c>
      <c r="F4" s="21" t="str">
        <f t="array" ref="F4">IF(ROW()&lt;25,"",INDEX('Solar Power Plant Data'!H:H,ROW()-1))</f>
        <v/>
      </c>
      <c r="G4" s="21" t="str">
        <f>IF(ROW()&lt;25,"",AVERAGE(OFFSET('Solar Power Plant Data'!H26,-23,0,24,1)))
</f>
        <v/>
      </c>
      <c r="H4" s="21">
        <f>'Solar Power Plant Data'!H3/MAX('Solar Power Plant Data'!E3,0.0001)
</f>
        <v>0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</row>
    <row r="5">
      <c r="A5" s="21">
        <f>HOUR('Solar Power Plant Data'!A4)</f>
        <v>2</v>
      </c>
      <c r="B5" s="21">
        <f>DAY('Solar Power Plant Data'!A4)</f>
        <v>1</v>
      </c>
      <c r="C5" s="21">
        <f>MONTH('Solar Power Plant Data'!A4)</f>
        <v>1</v>
      </c>
      <c r="D5" s="21" t="str">
        <f>TEXT('Solar Power Plant Data'!A4,"ddd")</f>
        <v>Sun</v>
      </c>
      <c r="E5" s="21">
        <f t="shared" si="1"/>
        <v>1</v>
      </c>
      <c r="F5" s="21" t="str">
        <f t="array" ref="F5">IF(ROW()&lt;25,"",INDEX('Solar Power Plant Data'!H:H,ROW()-1))</f>
        <v/>
      </c>
      <c r="G5" s="21" t="str">
        <f>IF(ROW()&lt;25,"",AVERAGE(OFFSET('Solar Power Plant Data'!H27,-23,0,24,1)))
</f>
        <v/>
      </c>
      <c r="H5" s="21">
        <f>'Solar Power Plant Data'!H4/MAX('Solar Power Plant Data'!E4,0.0001)
</f>
        <v>0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</row>
    <row r="6">
      <c r="A6" s="21">
        <f>HOUR('Solar Power Plant Data'!A5)</f>
        <v>3</v>
      </c>
      <c r="B6" s="21">
        <f>DAY('Solar Power Plant Data'!A5)</f>
        <v>1</v>
      </c>
      <c r="C6" s="21">
        <f>MONTH('Solar Power Plant Data'!A5)</f>
        <v>1</v>
      </c>
      <c r="D6" s="21" t="str">
        <f>TEXT('Solar Power Plant Data'!A5,"ddd")</f>
        <v>Sun</v>
      </c>
      <c r="E6" s="21">
        <f t="shared" si="1"/>
        <v>1</v>
      </c>
      <c r="F6" s="21" t="str">
        <f t="array" ref="F6">IF(ROW()&lt;25,"",INDEX('Solar Power Plant Data'!H:H,ROW()-1))</f>
        <v/>
      </c>
      <c r="G6" s="21" t="str">
        <f>IF(ROW()&lt;25,"",AVERAGE(OFFSET('Solar Power Plant Data'!H28,-23,0,24,1)))
</f>
        <v/>
      </c>
      <c r="H6" s="21">
        <f>'Solar Power Plant Data'!H5/MAX('Solar Power Plant Data'!E5,0.0001)
</f>
        <v>0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>
      <c r="A7" s="21">
        <f>HOUR('Solar Power Plant Data'!A6)</f>
        <v>4</v>
      </c>
      <c r="B7" s="21">
        <f>DAY('Solar Power Plant Data'!A6)</f>
        <v>1</v>
      </c>
      <c r="C7" s="21">
        <f>MONTH('Solar Power Plant Data'!A6)</f>
        <v>1</v>
      </c>
      <c r="D7" s="21" t="str">
        <f>TEXT('Solar Power Plant Data'!A6,"ddd")</f>
        <v>Sun</v>
      </c>
      <c r="E7" s="21">
        <f t="shared" si="1"/>
        <v>1</v>
      </c>
      <c r="F7" s="21" t="str">
        <f t="array" ref="F7">IF(ROW()&lt;25,"",INDEX('Solar Power Plant Data'!H:H,ROW()-1))</f>
        <v/>
      </c>
      <c r="G7" s="21" t="str">
        <f>IF(ROW()&lt;25,"",AVERAGE(OFFSET('Solar Power Plant Data'!H29,-23,0,24,1)))
</f>
        <v/>
      </c>
      <c r="H7" s="21">
        <f>'Solar Power Plant Data'!H6/MAX('Solar Power Plant Data'!E6,0.0001)
</f>
        <v>0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</row>
    <row r="8">
      <c r="A8" s="21">
        <f>HOUR('Solar Power Plant Data'!A7)</f>
        <v>5</v>
      </c>
      <c r="B8" s="21">
        <f>DAY('Solar Power Plant Data'!A7)</f>
        <v>1</v>
      </c>
      <c r="C8" s="21">
        <f>MONTH('Solar Power Plant Data'!A7)</f>
        <v>1</v>
      </c>
      <c r="D8" s="21" t="str">
        <f>TEXT('Solar Power Plant Data'!A7,"ddd")</f>
        <v>Sun</v>
      </c>
      <c r="E8" s="21">
        <f t="shared" si="1"/>
        <v>1</v>
      </c>
      <c r="F8" s="21" t="str">
        <f t="array" ref="F8">IF(ROW()&lt;25,"",INDEX('Solar Power Plant Data'!H:H,ROW()-1))</f>
        <v/>
      </c>
      <c r="G8" s="21" t="str">
        <f>IF(ROW()&lt;25,"",AVERAGE(OFFSET('Solar Power Plant Data'!H30,-23,0,24,1)))
</f>
        <v/>
      </c>
      <c r="H8" s="21">
        <f>'Solar Power Plant Data'!H7/MAX('Solar Power Plant Data'!E7,0.0001)
</f>
        <v>0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</row>
    <row r="9">
      <c r="A9" s="21">
        <f>HOUR('Solar Power Plant Data'!A8)</f>
        <v>6</v>
      </c>
      <c r="B9" s="21">
        <f>DAY('Solar Power Plant Data'!A8)</f>
        <v>1</v>
      </c>
      <c r="C9" s="21">
        <f>MONTH('Solar Power Plant Data'!A8)</f>
        <v>1</v>
      </c>
      <c r="D9" s="21" t="str">
        <f>TEXT('Solar Power Plant Data'!A8,"ddd")</f>
        <v>Sun</v>
      </c>
      <c r="E9" s="21">
        <f t="shared" si="1"/>
        <v>1</v>
      </c>
      <c r="F9" s="21" t="str">
        <f t="array" ref="F9">IF(ROW()&lt;25,"",INDEX('Solar Power Plant Data'!H:H,ROW()-1))</f>
        <v/>
      </c>
      <c r="G9" s="21" t="str">
        <f>IF(ROW()&lt;25,"",AVERAGE(OFFSET('Solar Power Plant Data'!H31,-23,0,24,1)))
</f>
        <v/>
      </c>
      <c r="H9" s="21">
        <f>'Solar Power Plant Data'!H8/MAX('Solar Power Plant Data'!E8,0.0001)
</f>
        <v>0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</row>
    <row r="10">
      <c r="A10" s="21">
        <f>HOUR('Solar Power Plant Data'!A9)</f>
        <v>7</v>
      </c>
      <c r="B10" s="21">
        <f>DAY('Solar Power Plant Data'!A9)</f>
        <v>1</v>
      </c>
      <c r="C10" s="21">
        <f>MONTH('Solar Power Plant Data'!A9)</f>
        <v>1</v>
      </c>
      <c r="D10" s="21" t="str">
        <f>TEXT('Solar Power Plant Data'!A9,"ddd")</f>
        <v>Sun</v>
      </c>
      <c r="E10" s="21">
        <f t="shared" si="1"/>
        <v>1</v>
      </c>
      <c r="F10" s="21" t="str">
        <f t="array" ref="F10">IF(ROW()&lt;25,"",INDEX('Solar Power Plant Data'!H:H,ROW()-1))</f>
        <v/>
      </c>
      <c r="G10" s="21" t="str">
        <f>IF(ROW()&lt;25,"",AVERAGE(OFFSET('Solar Power Plant Data'!H32,-23,0,24,1)))
</f>
        <v/>
      </c>
      <c r="H10" s="21">
        <f>'Solar Power Plant Data'!H9/MAX('Solar Power Plant Data'!E9,0.0001)
</f>
        <v>0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>
      <c r="A11" s="21">
        <f>HOUR('Solar Power Plant Data'!A10)</f>
        <v>8</v>
      </c>
      <c r="B11" s="21">
        <f>DAY('Solar Power Plant Data'!A10)</f>
        <v>1</v>
      </c>
      <c r="C11" s="21">
        <f>MONTH('Solar Power Plant Data'!A10)</f>
        <v>1</v>
      </c>
      <c r="D11" s="21" t="str">
        <f>TEXT('Solar Power Plant Data'!A10,"ddd")</f>
        <v>Sun</v>
      </c>
      <c r="E11" s="21">
        <f t="shared" si="1"/>
        <v>1</v>
      </c>
      <c r="F11" s="21" t="str">
        <f t="array" ref="F11">IF(ROW()&lt;25,"",INDEX('Solar Power Plant Data'!H:H,ROW()-1))</f>
        <v/>
      </c>
      <c r="G11" s="21" t="str">
        <f>IF(ROW()&lt;25,"",AVERAGE(OFFSET('Solar Power Plant Data'!H33,-23,0,24,1)))
</f>
        <v/>
      </c>
      <c r="H11" s="21">
        <f>'Solar Power Plant Data'!H10/MAX('Solar Power Plant Data'!E10,0.0001)
</f>
        <v>0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>
      <c r="A12" s="21">
        <f>HOUR('Solar Power Plant Data'!A11)</f>
        <v>9</v>
      </c>
      <c r="B12" s="21">
        <f>DAY('Solar Power Plant Data'!A11)</f>
        <v>1</v>
      </c>
      <c r="C12" s="21">
        <f>MONTH('Solar Power Plant Data'!A11)</f>
        <v>1</v>
      </c>
      <c r="D12" s="21" t="str">
        <f>TEXT('Solar Power Plant Data'!A11,"ddd")</f>
        <v>Sun</v>
      </c>
      <c r="E12" s="21">
        <f t="shared" si="1"/>
        <v>1</v>
      </c>
      <c r="F12" s="21" t="str">
        <f t="array" ref="F12">IF(ROW()&lt;25,"",INDEX('Solar Power Plant Data'!H:H,ROW()-1))</f>
        <v/>
      </c>
      <c r="G12" s="21" t="str">
        <f>IF(ROW()&lt;25,"",AVERAGE(OFFSET('Solar Power Plant Data'!H34,-23,0,24,1)))
</f>
        <v/>
      </c>
      <c r="H12" s="21">
        <f>'Solar Power Plant Data'!H11/MAX('Solar Power Plant Data'!E11,0.0001)
</f>
        <v>0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>
      <c r="A13" s="21">
        <f>HOUR('Solar Power Plant Data'!A12)</f>
        <v>10</v>
      </c>
      <c r="B13" s="21">
        <f>DAY('Solar Power Plant Data'!A12)</f>
        <v>1</v>
      </c>
      <c r="C13" s="21">
        <f>MONTH('Solar Power Plant Data'!A12)</f>
        <v>1</v>
      </c>
      <c r="D13" s="21" t="str">
        <f>TEXT('Solar Power Plant Data'!A12,"ddd")</f>
        <v>Sun</v>
      </c>
      <c r="E13" s="21">
        <f t="shared" si="1"/>
        <v>1</v>
      </c>
      <c r="F13" s="21" t="str">
        <f t="array" ref="F13">IF(ROW()&lt;25,"",INDEX('Solar Power Plant Data'!H:H,ROW()-1))</f>
        <v/>
      </c>
      <c r="G13" s="21" t="str">
        <f>IF(ROW()&lt;25,"",AVERAGE(OFFSET('Solar Power Plant Data'!H35,-23,0,24,1)))
</f>
        <v/>
      </c>
      <c r="H13" s="21">
        <f>'Solar Power Plant Data'!H12/MAX('Solar Power Plant Data'!E12,0.0001)
</f>
        <v>0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>
      <c r="A14" s="21">
        <f>HOUR('Solar Power Plant Data'!A13)</f>
        <v>11</v>
      </c>
      <c r="B14" s="21">
        <f>DAY('Solar Power Plant Data'!A13)</f>
        <v>1</v>
      </c>
      <c r="C14" s="21">
        <f>MONTH('Solar Power Plant Data'!A13)</f>
        <v>1</v>
      </c>
      <c r="D14" s="21" t="str">
        <f>TEXT('Solar Power Plant Data'!A13,"ddd")</f>
        <v>Sun</v>
      </c>
      <c r="E14" s="21">
        <f t="shared" si="1"/>
        <v>1</v>
      </c>
      <c r="F14" s="21" t="str">
        <f t="array" ref="F14">IF(ROW()&lt;25,"",INDEX('Solar Power Plant Data'!H:H,ROW()-1))</f>
        <v/>
      </c>
      <c r="G14" s="21" t="str">
        <f>IF(ROW()&lt;25,"",AVERAGE(OFFSET('Solar Power Plant Data'!H36,-23,0,24,1)))
</f>
        <v/>
      </c>
      <c r="H14" s="21">
        <f>'Solar Power Plant Data'!H13/MAX('Solar Power Plant Data'!E13,0.0001)
</f>
        <v>21583330000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>
      <c r="A15" s="21">
        <f>HOUR('Solar Power Plant Data'!A14)</f>
        <v>12</v>
      </c>
      <c r="B15" s="21">
        <f>DAY('Solar Power Plant Data'!A14)</f>
        <v>1</v>
      </c>
      <c r="C15" s="21">
        <f>MONTH('Solar Power Plant Data'!A14)</f>
        <v>1</v>
      </c>
      <c r="D15" s="21" t="str">
        <f>TEXT('Solar Power Plant Data'!A14,"ddd")</f>
        <v>Sun</v>
      </c>
      <c r="E15" s="21">
        <f t="shared" si="1"/>
        <v>1</v>
      </c>
      <c r="F15" s="21" t="str">
        <f t="array" ref="F15">IF(ROW()&lt;25,"",INDEX('Solar Power Plant Data'!H:H,ROW()-1))</f>
        <v/>
      </c>
      <c r="G15" s="21" t="str">
        <f>IF(ROW()&lt;25,"",AVERAGE(OFFSET('Solar Power Plant Data'!H37,-23,0,24,1)))
</f>
        <v/>
      </c>
      <c r="H15" s="21">
        <f>'Solar Power Plant Data'!H14/MAX('Solar Power Plant Data'!E14,0.0001)
</f>
        <v>83166670000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>
      <c r="A16" s="21">
        <f>HOUR('Solar Power Plant Data'!A15)</f>
        <v>13</v>
      </c>
      <c r="B16" s="21">
        <f>DAY('Solar Power Plant Data'!A15)</f>
        <v>1</v>
      </c>
      <c r="C16" s="21">
        <f>MONTH('Solar Power Plant Data'!A15)</f>
        <v>1</v>
      </c>
      <c r="D16" s="21" t="str">
        <f>TEXT('Solar Power Plant Data'!A15,"ddd")</f>
        <v>Sun</v>
      </c>
      <c r="E16" s="21">
        <f t="shared" si="1"/>
        <v>1</v>
      </c>
      <c r="F16" s="21" t="str">
        <f t="array" ref="F16">IF(ROW()&lt;25,"",INDEX('Solar Power Plant Data'!H:H,ROW()-1))</f>
        <v/>
      </c>
      <c r="G16" s="21" t="str">
        <f>IF(ROW()&lt;25,"",AVERAGE(OFFSET('Solar Power Plant Data'!H38,-23,0,24,1)))
</f>
        <v/>
      </c>
      <c r="H16" s="21">
        <f>'Solar Power Plant Data'!H15/MAX('Solar Power Plant Data'!E15,0.0001)
</f>
        <v>3495000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>
      <c r="A17" s="21">
        <f>HOUR('Solar Power Plant Data'!A16)</f>
        <v>14</v>
      </c>
      <c r="B17" s="21">
        <f>DAY('Solar Power Plant Data'!A16)</f>
        <v>1</v>
      </c>
      <c r="C17" s="21">
        <f>MONTH('Solar Power Plant Data'!A16)</f>
        <v>1</v>
      </c>
      <c r="D17" s="21" t="str">
        <f>TEXT('Solar Power Plant Data'!A16,"ddd")</f>
        <v>Sun</v>
      </c>
      <c r="E17" s="21">
        <f t="shared" si="1"/>
        <v>1</v>
      </c>
      <c r="F17" s="21" t="str">
        <f t="array" ref="F17">IF(ROW()&lt;25,"",INDEX('Solar Power Plant Data'!H:H,ROW()-1))</f>
        <v/>
      </c>
      <c r="G17" s="21" t="str">
        <f>IF(ROW()&lt;25,"",AVERAGE(OFFSET('Solar Power Plant Data'!H39,-23,0,24,1)))
</f>
        <v/>
      </c>
      <c r="H17" s="21">
        <f>'Solar Power Plant Data'!H16/MAX('Solar Power Plant Data'!E16,0.0001)
</f>
        <v>3.532467532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>
      <c r="A18" s="21">
        <f>HOUR('Solar Power Plant Data'!A17)</f>
        <v>15</v>
      </c>
      <c r="B18" s="21">
        <f>DAY('Solar Power Plant Data'!A17)</f>
        <v>1</v>
      </c>
      <c r="C18" s="21">
        <f>MONTH('Solar Power Plant Data'!A17)</f>
        <v>1</v>
      </c>
      <c r="D18" s="21" t="str">
        <f>TEXT('Solar Power Plant Data'!A17,"ddd")</f>
        <v>Sun</v>
      </c>
      <c r="E18" s="21">
        <f t="shared" si="1"/>
        <v>1</v>
      </c>
      <c r="F18" s="21" t="str">
        <f t="array" ref="F18">IF(ROW()&lt;25,"",INDEX('Solar Power Plant Data'!H:H,ROW()-1))</f>
        <v/>
      </c>
      <c r="G18" s="21" t="str">
        <f>IF(ROW()&lt;25,"",AVERAGE(OFFSET('Solar Power Plant Data'!H40,-23,0,24,1)))
</f>
        <v/>
      </c>
      <c r="H18" s="21">
        <f>'Solar Power Plant Data'!H17/MAX('Solar Power Plant Data'!E17,0.0001)
</f>
        <v>13020830000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>
      <c r="A19" s="21">
        <f>HOUR('Solar Power Plant Data'!A18)</f>
        <v>16</v>
      </c>
      <c r="B19" s="21">
        <f>DAY('Solar Power Plant Data'!A18)</f>
        <v>1</v>
      </c>
      <c r="C19" s="21">
        <f>MONTH('Solar Power Plant Data'!A18)</f>
        <v>1</v>
      </c>
      <c r="D19" s="21" t="str">
        <f>TEXT('Solar Power Plant Data'!A18,"ddd")</f>
        <v>Sun</v>
      </c>
      <c r="E19" s="21">
        <f t="shared" si="1"/>
        <v>1</v>
      </c>
      <c r="F19" s="21" t="str">
        <f t="array" ref="F19">IF(ROW()&lt;25,"",INDEX('Solar Power Plant Data'!H:H,ROW()-1))</f>
        <v/>
      </c>
      <c r="G19" s="21" t="str">
        <f>IF(ROW()&lt;25,"",AVERAGE(OFFSET('Solar Power Plant Data'!H41,-23,0,24,1)))
</f>
        <v/>
      </c>
      <c r="H19" s="21">
        <f>'Solar Power Plant Data'!H18/MAX('Solar Power Plant Data'!E18,0.0001)
</f>
        <v>0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>
      <c r="A20" s="21">
        <f>HOUR('Solar Power Plant Data'!A19)</f>
        <v>17</v>
      </c>
      <c r="B20" s="21">
        <f>DAY('Solar Power Plant Data'!A19)</f>
        <v>1</v>
      </c>
      <c r="C20" s="21">
        <f>MONTH('Solar Power Plant Data'!A19)</f>
        <v>1</v>
      </c>
      <c r="D20" s="21" t="str">
        <f>TEXT('Solar Power Plant Data'!A19,"ddd")</f>
        <v>Sun</v>
      </c>
      <c r="E20" s="21">
        <f t="shared" si="1"/>
        <v>1</v>
      </c>
      <c r="F20" s="21" t="str">
        <f t="array" ref="F20">IF(ROW()&lt;25,"",INDEX('Solar Power Plant Data'!H:H,ROW()-1))</f>
        <v/>
      </c>
      <c r="G20" s="21" t="str">
        <f>IF(ROW()&lt;25,"",AVERAGE(OFFSET('Solar Power Plant Data'!H42,-23,0,24,1)))
</f>
        <v/>
      </c>
      <c r="H20" s="21">
        <f>'Solar Power Plant Data'!H19/MAX('Solar Power Plant Data'!E19,0.0001)
</f>
        <v>0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>
      <c r="A21" s="21">
        <f>HOUR('Solar Power Plant Data'!A20)</f>
        <v>18</v>
      </c>
      <c r="B21" s="21">
        <f>DAY('Solar Power Plant Data'!A20)</f>
        <v>1</v>
      </c>
      <c r="C21" s="21">
        <f>MONTH('Solar Power Plant Data'!A20)</f>
        <v>1</v>
      </c>
      <c r="D21" s="21" t="str">
        <f>TEXT('Solar Power Plant Data'!A20,"ddd")</f>
        <v>Sun</v>
      </c>
      <c r="E21" s="21">
        <f t="shared" si="1"/>
        <v>1</v>
      </c>
      <c r="F21" s="21" t="str">
        <f t="array" ref="F21">IF(ROW()&lt;25,"",INDEX('Solar Power Plant Data'!H:H,ROW()-1))</f>
        <v/>
      </c>
      <c r="G21" s="21" t="str">
        <f>IF(ROW()&lt;25,"",AVERAGE(OFFSET('Solar Power Plant Data'!H43,-23,0,24,1)))
</f>
        <v/>
      </c>
      <c r="H21" s="21">
        <f>'Solar Power Plant Data'!H20/MAX('Solar Power Plant Data'!E20,0.0001)
</f>
        <v>0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>
      <c r="A22" s="21">
        <f>HOUR('Solar Power Plant Data'!A21)</f>
        <v>19</v>
      </c>
      <c r="B22" s="21">
        <f>DAY('Solar Power Plant Data'!A21)</f>
        <v>1</v>
      </c>
      <c r="C22" s="21">
        <f>MONTH('Solar Power Plant Data'!A21)</f>
        <v>1</v>
      </c>
      <c r="D22" s="21" t="str">
        <f>TEXT('Solar Power Plant Data'!A21,"ddd")</f>
        <v>Sun</v>
      </c>
      <c r="E22" s="21">
        <f t="shared" si="1"/>
        <v>1</v>
      </c>
      <c r="F22" s="21" t="str">
        <f t="array" ref="F22">IF(ROW()&lt;25,"",INDEX('Solar Power Plant Data'!H:H,ROW()-1))</f>
        <v/>
      </c>
      <c r="G22" s="21" t="str">
        <f>IF(ROW()&lt;25,"",AVERAGE(OFFSET('Solar Power Plant Data'!H44,-23,0,24,1)))
</f>
        <v/>
      </c>
      <c r="H22" s="21">
        <f>'Solar Power Plant Data'!H21/MAX('Solar Power Plant Data'!E21,0.0001)
</f>
        <v>0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>
      <c r="A23" s="21">
        <f>HOUR('Solar Power Plant Data'!A22)</f>
        <v>20</v>
      </c>
      <c r="B23" s="21">
        <f>DAY('Solar Power Plant Data'!A22)</f>
        <v>1</v>
      </c>
      <c r="C23" s="21">
        <f>MONTH('Solar Power Plant Data'!A22)</f>
        <v>1</v>
      </c>
      <c r="D23" s="21" t="str">
        <f>TEXT('Solar Power Plant Data'!A22,"ddd")</f>
        <v>Sun</v>
      </c>
      <c r="E23" s="21">
        <f t="shared" si="1"/>
        <v>1</v>
      </c>
      <c r="F23" s="21" t="str">
        <f t="array" ref="F23">IF(ROW()&lt;25,"",INDEX('Solar Power Plant Data'!H:H,ROW()-1))</f>
        <v/>
      </c>
      <c r="G23" s="21" t="str">
        <f>IF(ROW()&lt;25,"",AVERAGE(OFFSET('Solar Power Plant Data'!H45,-23,0,24,1)))
</f>
        <v/>
      </c>
      <c r="H23" s="21">
        <f>'Solar Power Plant Data'!H22/MAX('Solar Power Plant Data'!E22,0.0001)
</f>
        <v>0</v>
      </c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>
      <c r="A24" s="21">
        <f>HOUR('Solar Power Plant Data'!A23)</f>
        <v>21</v>
      </c>
      <c r="B24" s="21">
        <f>DAY('Solar Power Plant Data'!A23)</f>
        <v>1</v>
      </c>
      <c r="C24" s="21">
        <f>MONTH('Solar Power Plant Data'!A23)</f>
        <v>1</v>
      </c>
      <c r="D24" s="21" t="str">
        <f>TEXT('Solar Power Plant Data'!A23,"ddd")</f>
        <v>Sun</v>
      </c>
      <c r="E24" s="21">
        <f t="shared" si="1"/>
        <v>1</v>
      </c>
      <c r="F24" s="21" t="str">
        <f t="array" ref="F24">IF(ROW()&lt;25,"",INDEX('Solar Power Plant Data'!H:H,ROW()-1))</f>
        <v/>
      </c>
      <c r="G24" s="21" t="str">
        <f>IF(ROW()&lt;25,"",AVERAGE(OFFSET('Solar Power Plant Data'!H46,-23,0,24,1)))
</f>
        <v/>
      </c>
      <c r="H24" s="21">
        <f>'Solar Power Plant Data'!H23/MAX('Solar Power Plant Data'!E23,0.0001)
</f>
        <v>0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>
      <c r="A25" s="21">
        <f>HOUR('Solar Power Plant Data'!A24)</f>
        <v>22</v>
      </c>
      <c r="B25" s="21">
        <f>DAY('Solar Power Plant Data'!A24)</f>
        <v>1</v>
      </c>
      <c r="C25" s="21">
        <f>MONTH('Solar Power Plant Data'!A24)</f>
        <v>1</v>
      </c>
      <c r="D25" s="21" t="str">
        <f>TEXT('Solar Power Plant Data'!A24,"ddd")</f>
        <v>Sun</v>
      </c>
      <c r="E25" s="21">
        <f t="shared" si="1"/>
        <v>1</v>
      </c>
      <c r="F25" s="19">
        <f t="array" ref="F25">IF(ROW()&lt;25,"",INDEX('Solar Power Plant Data'!H:H,ROW()-1))</f>
        <v>0</v>
      </c>
      <c r="G25" s="19">
        <f>IF(ROW()&lt;25,"",AVERAGE(OFFSET('Solar Power Plant Data'!H47,-23,0,24,1)))
</f>
        <v>556704.4167</v>
      </c>
      <c r="H25" s="21">
        <f>'Solar Power Plant Data'!H24/MAX('Solar Power Plant Data'!E24,0.0001)
</f>
        <v>0</v>
      </c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>
      <c r="A26" s="21">
        <f>HOUR('Solar Power Plant Data'!A25)</f>
        <v>23</v>
      </c>
      <c r="B26" s="21">
        <f>DAY('Solar Power Plant Data'!A25)</f>
        <v>1</v>
      </c>
      <c r="C26" s="21">
        <f>MONTH('Solar Power Plant Data'!A25)</f>
        <v>1</v>
      </c>
      <c r="D26" s="21" t="str">
        <f>TEXT('Solar Power Plant Data'!A25,"ddd")</f>
        <v>Sun</v>
      </c>
      <c r="E26" s="21">
        <f t="shared" si="1"/>
        <v>1</v>
      </c>
      <c r="F26" s="19">
        <f t="array" ref="F26">IF(ROW()&lt;25,"",INDEX('Solar Power Plant Data'!H:H,ROW()-1))</f>
        <v>0</v>
      </c>
      <c r="G26" s="19">
        <f>IF(ROW()&lt;25,"",AVERAGE(OFFSET('Solar Power Plant Data'!H48,-23,0,24,1)))
</f>
        <v>556704.4167</v>
      </c>
      <c r="H26" s="21">
        <f>'Solar Power Plant Data'!H25/MAX('Solar Power Plant Data'!E25,0.0001)
</f>
        <v>0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>
      <c r="A27" s="21">
        <f>HOUR('Solar Power Plant Data'!A26)</f>
        <v>0</v>
      </c>
      <c r="B27" s="21">
        <f>DAY('Solar Power Plant Data'!A26)</f>
        <v>1</v>
      </c>
      <c r="C27" s="21">
        <f>MONTH('Solar Power Plant Data'!A26)</f>
        <v>2</v>
      </c>
      <c r="D27" s="21" t="str">
        <f>TEXT('Solar Power Plant Data'!A26,"ddd")</f>
        <v>Wed</v>
      </c>
      <c r="E27" s="21">
        <f t="shared" si="1"/>
        <v>0</v>
      </c>
      <c r="F27" s="19">
        <f t="array" ref="F27">IF(ROW()&lt;25,"",INDEX('Solar Power Plant Data'!H:H,ROW()-1))</f>
        <v>0</v>
      </c>
      <c r="G27" s="19">
        <f>IF(ROW()&lt;25,"",AVERAGE(OFFSET('Solar Power Plant Data'!H49,-23,0,24,1)))
</f>
        <v>556704.4167</v>
      </c>
      <c r="H27" s="21">
        <f>'Solar Power Plant Data'!H26/MAX('Solar Power Plant Data'!E26,0.0001)
</f>
        <v>0</v>
      </c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>
      <c r="A28" s="21">
        <f>HOUR('Solar Power Plant Data'!A27)</f>
        <v>1</v>
      </c>
      <c r="B28" s="21">
        <f>DAY('Solar Power Plant Data'!A27)</f>
        <v>1</v>
      </c>
      <c r="C28" s="21">
        <f>MONTH('Solar Power Plant Data'!A27)</f>
        <v>2</v>
      </c>
      <c r="D28" s="21" t="str">
        <f>TEXT('Solar Power Plant Data'!A27,"ddd")</f>
        <v>Wed</v>
      </c>
      <c r="E28" s="21">
        <f t="shared" si="1"/>
        <v>0</v>
      </c>
      <c r="F28" s="19">
        <f t="array" ref="F28">IF(ROW()&lt;25,"",INDEX('Solar Power Plant Data'!H:H,ROW()-1))</f>
        <v>0</v>
      </c>
      <c r="G28" s="19">
        <f>IF(ROW()&lt;25,"",AVERAGE(OFFSET('Solar Power Plant Data'!H50,-23,0,24,1)))
</f>
        <v>556704.4167</v>
      </c>
      <c r="H28" s="21">
        <f>'Solar Power Plant Data'!H27/MAX('Solar Power Plant Data'!E27,0.0001)
</f>
        <v>0</v>
      </c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>
      <c r="A29" s="21">
        <f>HOUR('Solar Power Plant Data'!A28)</f>
        <v>2</v>
      </c>
      <c r="B29" s="21">
        <f>DAY('Solar Power Plant Data'!A28)</f>
        <v>1</v>
      </c>
      <c r="C29" s="21">
        <f>MONTH('Solar Power Plant Data'!A28)</f>
        <v>2</v>
      </c>
      <c r="D29" s="21" t="str">
        <f>TEXT('Solar Power Plant Data'!A28,"ddd")</f>
        <v>Wed</v>
      </c>
      <c r="E29" s="21">
        <f t="shared" si="1"/>
        <v>0</v>
      </c>
      <c r="F29" s="19">
        <f t="array" ref="F29">IF(ROW()&lt;25,"",INDEX('Solar Power Plant Data'!H:H,ROW()-1))</f>
        <v>0</v>
      </c>
      <c r="G29" s="19">
        <f>IF(ROW()&lt;25,"",AVERAGE(OFFSET('Solar Power Plant Data'!H51,-23,0,24,1)))
</f>
        <v>556704.4167</v>
      </c>
      <c r="H29" s="21">
        <f>'Solar Power Plant Data'!H28/MAX('Solar Power Plant Data'!E28,0.0001)
</f>
        <v>0</v>
      </c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>
      <c r="A30" s="21">
        <f>HOUR('Solar Power Plant Data'!A29)</f>
        <v>3</v>
      </c>
      <c r="B30" s="21">
        <f>DAY('Solar Power Plant Data'!A29)</f>
        <v>1</v>
      </c>
      <c r="C30" s="21">
        <f>MONTH('Solar Power Plant Data'!A29)</f>
        <v>2</v>
      </c>
      <c r="D30" s="21" t="str">
        <f>TEXT('Solar Power Plant Data'!A29,"ddd")</f>
        <v>Wed</v>
      </c>
      <c r="E30" s="21">
        <f t="shared" si="1"/>
        <v>0</v>
      </c>
      <c r="F30" s="19">
        <f t="array" ref="F30">IF(ROW()&lt;25,"",INDEX('Solar Power Plant Data'!H:H,ROW()-1))</f>
        <v>0</v>
      </c>
      <c r="G30" s="19">
        <f>IF(ROW()&lt;25,"",AVERAGE(OFFSET('Solar Power Plant Data'!H52,-23,0,24,1)))
</f>
        <v>556704.4167</v>
      </c>
      <c r="H30" s="21">
        <f>'Solar Power Plant Data'!H29/MAX('Solar Power Plant Data'!E29,0.0001)
</f>
        <v>0</v>
      </c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>
      <c r="A31" s="21">
        <f>HOUR('Solar Power Plant Data'!A30)</f>
        <v>4</v>
      </c>
      <c r="B31" s="21">
        <f>DAY('Solar Power Plant Data'!A30)</f>
        <v>1</v>
      </c>
      <c r="C31" s="21">
        <f>MONTH('Solar Power Plant Data'!A30)</f>
        <v>2</v>
      </c>
      <c r="D31" s="21" t="str">
        <f>TEXT('Solar Power Plant Data'!A30,"ddd")</f>
        <v>Wed</v>
      </c>
      <c r="E31" s="21">
        <f t="shared" si="1"/>
        <v>0</v>
      </c>
      <c r="F31" s="19">
        <f t="array" ref="F31">IF(ROW()&lt;25,"",INDEX('Solar Power Plant Data'!H:H,ROW()-1))</f>
        <v>0</v>
      </c>
      <c r="G31" s="19">
        <f>IF(ROW()&lt;25,"",AVERAGE(OFFSET('Solar Power Plant Data'!H53,-23,0,24,1)))
</f>
        <v>556704.4167</v>
      </c>
      <c r="H31" s="21">
        <f>'Solar Power Plant Data'!H30/MAX('Solar Power Plant Data'!E30,0.0001)
</f>
        <v>0</v>
      </c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</row>
    <row r="32">
      <c r="A32" s="21">
        <f>HOUR('Solar Power Plant Data'!A31)</f>
        <v>5</v>
      </c>
      <c r="B32" s="21">
        <f>DAY('Solar Power Plant Data'!A31)</f>
        <v>1</v>
      </c>
      <c r="C32" s="21">
        <f>MONTH('Solar Power Plant Data'!A31)</f>
        <v>2</v>
      </c>
      <c r="D32" s="21" t="str">
        <f>TEXT('Solar Power Plant Data'!A31,"ddd")</f>
        <v>Wed</v>
      </c>
      <c r="E32" s="21">
        <f t="shared" si="1"/>
        <v>0</v>
      </c>
      <c r="F32" s="19">
        <f t="array" ref="F32">IF(ROW()&lt;25,"",INDEX('Solar Power Plant Data'!H:H,ROW()-1))</f>
        <v>0</v>
      </c>
      <c r="G32" s="19">
        <f>IF(ROW()&lt;25,"",AVERAGE(OFFSET('Solar Power Plant Data'!H54,-23,0,24,1)))
</f>
        <v>556704.4167</v>
      </c>
      <c r="H32" s="21">
        <f>'Solar Power Plant Data'!H31/MAX('Solar Power Plant Data'!E31,0.0001)
</f>
        <v>0</v>
      </c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</row>
    <row r="33">
      <c r="A33" s="21">
        <f>HOUR('Solar Power Plant Data'!A32)</f>
        <v>6</v>
      </c>
      <c r="B33" s="21">
        <f>DAY('Solar Power Plant Data'!A32)</f>
        <v>1</v>
      </c>
      <c r="C33" s="21">
        <f>MONTH('Solar Power Plant Data'!A32)</f>
        <v>2</v>
      </c>
      <c r="D33" s="21" t="str">
        <f>TEXT('Solar Power Plant Data'!A32,"ddd")</f>
        <v>Wed</v>
      </c>
      <c r="E33" s="21">
        <f t="shared" si="1"/>
        <v>0</v>
      </c>
      <c r="F33" s="19">
        <f t="array" ref="F33">IF(ROW()&lt;25,"",INDEX('Solar Power Plant Data'!H:H,ROW()-1))</f>
        <v>0</v>
      </c>
      <c r="G33" s="19">
        <f>IF(ROW()&lt;25,"",AVERAGE(OFFSET('Solar Power Plant Data'!H55,-23,0,24,1)))
</f>
        <v>556704.4167</v>
      </c>
      <c r="H33" s="21">
        <f>'Solar Power Plant Data'!H32/MAX('Solar Power Plant Data'!E32,0.0001)
</f>
        <v>0</v>
      </c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</row>
    <row r="34">
      <c r="A34" s="21">
        <f>HOUR('Solar Power Plant Data'!A33)</f>
        <v>7</v>
      </c>
      <c r="B34" s="21">
        <f>DAY('Solar Power Plant Data'!A33)</f>
        <v>1</v>
      </c>
      <c r="C34" s="21">
        <f>MONTH('Solar Power Plant Data'!A33)</f>
        <v>2</v>
      </c>
      <c r="D34" s="21" t="str">
        <f>TEXT('Solar Power Plant Data'!A33,"ddd")</f>
        <v>Wed</v>
      </c>
      <c r="E34" s="21">
        <f t="shared" si="1"/>
        <v>0</v>
      </c>
      <c r="F34" s="19">
        <f t="array" ref="F34">IF(ROW()&lt;25,"",INDEX('Solar Power Plant Data'!H:H,ROW()-1))</f>
        <v>0</v>
      </c>
      <c r="G34" s="19">
        <f>IF(ROW()&lt;25,"",AVERAGE(OFFSET('Solar Power Plant Data'!H56,-23,0,24,1)))
</f>
        <v>556704.4167</v>
      </c>
      <c r="H34" s="21">
        <f>'Solar Power Plant Data'!H33/MAX('Solar Power Plant Data'!E33,0.0001)
</f>
        <v>0</v>
      </c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>
      <c r="A35" s="21">
        <f>HOUR('Solar Power Plant Data'!A34)</f>
        <v>8</v>
      </c>
      <c r="B35" s="21">
        <f>DAY('Solar Power Plant Data'!A34)</f>
        <v>1</v>
      </c>
      <c r="C35" s="21">
        <f>MONTH('Solar Power Plant Data'!A34)</f>
        <v>2</v>
      </c>
      <c r="D35" s="21" t="str">
        <f>TEXT('Solar Power Plant Data'!A34,"ddd")</f>
        <v>Wed</v>
      </c>
      <c r="E35" s="21">
        <f t="shared" si="1"/>
        <v>0</v>
      </c>
      <c r="F35" s="19">
        <f t="array" ref="F35">IF(ROW()&lt;25,"",INDEX('Solar Power Plant Data'!H:H,ROW()-1))</f>
        <v>0</v>
      </c>
      <c r="G35" s="19">
        <f>IF(ROW()&lt;25,"",AVERAGE(OFFSET('Solar Power Plant Data'!H57,-23,0,24,1)))
</f>
        <v>556704.4167</v>
      </c>
      <c r="H35" s="21">
        <f>'Solar Power Plant Data'!H34/MAX('Solar Power Plant Data'!E34,0.0001)
</f>
        <v>0</v>
      </c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>
      <c r="A36" s="21">
        <f>HOUR('Solar Power Plant Data'!A35)</f>
        <v>9</v>
      </c>
      <c r="B36" s="21">
        <f>DAY('Solar Power Plant Data'!A35)</f>
        <v>1</v>
      </c>
      <c r="C36" s="21">
        <f>MONTH('Solar Power Plant Data'!A35)</f>
        <v>2</v>
      </c>
      <c r="D36" s="21" t="str">
        <f>TEXT('Solar Power Plant Data'!A35,"ddd")</f>
        <v>Wed</v>
      </c>
      <c r="E36" s="21">
        <f t="shared" si="1"/>
        <v>0</v>
      </c>
      <c r="F36" s="19">
        <f t="array" ref="F36">IF(ROW()&lt;25,"",INDEX('Solar Power Plant Data'!H:H,ROW()-1))</f>
        <v>0</v>
      </c>
      <c r="G36" s="19">
        <f>IF(ROW()&lt;25,"",AVERAGE(OFFSET('Solar Power Plant Data'!H58,-23,0,24,1)))
</f>
        <v>556704.4167</v>
      </c>
      <c r="H36" s="21">
        <f>'Solar Power Plant Data'!H35/MAX('Solar Power Plant Data'!E35,0.0001)
</f>
        <v>0</v>
      </c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</row>
    <row r="37">
      <c r="A37" s="21">
        <f>HOUR('Solar Power Plant Data'!A36)</f>
        <v>10</v>
      </c>
      <c r="B37" s="21">
        <f>DAY('Solar Power Plant Data'!A36)</f>
        <v>1</v>
      </c>
      <c r="C37" s="21">
        <f>MONTH('Solar Power Plant Data'!A36)</f>
        <v>2</v>
      </c>
      <c r="D37" s="21" t="str">
        <f>TEXT('Solar Power Plant Data'!A36,"ddd")</f>
        <v>Wed</v>
      </c>
      <c r="E37" s="21">
        <f t="shared" si="1"/>
        <v>0</v>
      </c>
      <c r="F37" s="19">
        <f t="array" ref="F37">IF(ROW()&lt;25,"",INDEX('Solar Power Plant Data'!H:H,ROW()-1))</f>
        <v>0</v>
      </c>
      <c r="G37" s="19">
        <f>IF(ROW()&lt;25,"",AVERAGE(OFFSET('Solar Power Plant Data'!H59,-23,0,24,1)))
</f>
        <v>556704.4167</v>
      </c>
      <c r="H37" s="21">
        <f>'Solar Power Plant Data'!H36/MAX('Solar Power Plant Data'!E36,0.0001)
</f>
        <v>0</v>
      </c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</row>
    <row r="38">
      <c r="A38" s="21">
        <f>HOUR('Solar Power Plant Data'!A37)</f>
        <v>11</v>
      </c>
      <c r="B38" s="21">
        <f>DAY('Solar Power Plant Data'!A37)</f>
        <v>1</v>
      </c>
      <c r="C38" s="21">
        <f>MONTH('Solar Power Plant Data'!A37)</f>
        <v>2</v>
      </c>
      <c r="D38" s="21" t="str">
        <f>TEXT('Solar Power Plant Data'!A37,"ddd")</f>
        <v>Wed</v>
      </c>
      <c r="E38" s="21">
        <f t="shared" si="1"/>
        <v>0</v>
      </c>
      <c r="F38" s="19">
        <f t="array" ref="F38">IF(ROW()&lt;25,"",INDEX('Solar Power Plant Data'!H:H,ROW()-1))</f>
        <v>2486667</v>
      </c>
      <c r="G38" s="19">
        <f>IF(ROW()&lt;25,"",AVERAGE(OFFSET('Solar Power Plant Data'!H60,-23,0,24,1)))
</f>
        <v>556704.4167</v>
      </c>
      <c r="H38" s="21">
        <f>'Solar Power Plant Data'!H37/MAX('Solar Power Plant Data'!E37,0.0001)
</f>
        <v>24866670000</v>
      </c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</row>
    <row r="39">
      <c r="A39" s="21">
        <f>HOUR('Solar Power Plant Data'!A38)</f>
        <v>12</v>
      </c>
      <c r="B39" s="21">
        <f>DAY('Solar Power Plant Data'!A38)</f>
        <v>1</v>
      </c>
      <c r="C39" s="21">
        <f>MONTH('Solar Power Plant Data'!A38)</f>
        <v>2</v>
      </c>
      <c r="D39" s="21" t="str">
        <f>TEXT('Solar Power Plant Data'!A38,"ddd")</f>
        <v>Wed</v>
      </c>
      <c r="E39" s="21">
        <f t="shared" si="1"/>
        <v>0</v>
      </c>
      <c r="F39" s="19">
        <f t="array" ref="F39">IF(ROW()&lt;25,"",INDEX('Solar Power Plant Data'!H:H,ROW()-1))</f>
        <v>10873334</v>
      </c>
      <c r="G39" s="19">
        <f>IF(ROW()&lt;25,"",AVERAGE(OFFSET('Solar Power Plant Data'!H61,-23,0,24,1)))
</f>
        <v>453093.2917</v>
      </c>
      <c r="H39" s="21">
        <f>'Solar Power Plant Data'!H38/MAX('Solar Power Plant Data'!E38,0.0001)
</f>
        <v>108733340000</v>
      </c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</row>
    <row r="40">
      <c r="A40" s="21">
        <f>HOUR('Solar Power Plant Data'!A39)</f>
        <v>13</v>
      </c>
      <c r="B40" s="21">
        <f>DAY('Solar Power Plant Data'!A39)</f>
        <v>1</v>
      </c>
      <c r="C40" s="21">
        <f>MONTH('Solar Power Plant Data'!A39)</f>
        <v>2</v>
      </c>
      <c r="D40" s="21" t="str">
        <f>TEXT('Solar Power Plant Data'!A39,"ddd")</f>
        <v>Wed</v>
      </c>
      <c r="E40" s="21">
        <f t="shared" si="1"/>
        <v>0</v>
      </c>
      <c r="F40" s="19">
        <f t="array" ref="F40">IF(ROW()&lt;25,"",INDEX('Solar Power Plant Data'!H:H,ROW()-1))</f>
        <v>723</v>
      </c>
      <c r="G40" s="19">
        <f>IF(ROW()&lt;25,"",AVERAGE(OFFSET('Solar Power Plant Data'!H62,-23,0,24,1)))
</f>
        <v>246773.7917</v>
      </c>
      <c r="H40" s="21">
        <f>'Solar Power Plant Data'!H39/MAX('Solar Power Plant Data'!E39,0.0001)
</f>
        <v>7230000</v>
      </c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</row>
    <row r="41">
      <c r="A41" s="21">
        <f>HOUR('Solar Power Plant Data'!A40)</f>
        <v>14</v>
      </c>
      <c r="B41" s="21">
        <f>DAY('Solar Power Plant Data'!A40)</f>
        <v>1</v>
      </c>
      <c r="C41" s="21">
        <f>MONTH('Solar Power Plant Data'!A40)</f>
        <v>2</v>
      </c>
      <c r="D41" s="21" t="str">
        <f>TEXT('Solar Power Plant Data'!A40,"ddd")</f>
        <v>Wed</v>
      </c>
      <c r="E41" s="21">
        <f t="shared" si="1"/>
        <v>0</v>
      </c>
      <c r="F41" s="19">
        <f t="array" ref="F41">IF(ROW()&lt;25,"",INDEX('Solar Power Plant Data'!H:H,ROW()-1))</f>
        <v>131</v>
      </c>
      <c r="G41" s="19">
        <f>IF(ROW()&lt;25,"",AVERAGE(OFFSET('Solar Power Plant Data'!H63,-23,0,24,1)))
</f>
        <v>512924.2083</v>
      </c>
      <c r="H41" s="21">
        <f>'Solar Power Plant Data'!H40/MAX('Solar Power Plant Data'!E40,0.0001)
</f>
        <v>1.6375</v>
      </c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</row>
    <row r="42">
      <c r="A42" s="21">
        <f>HOUR('Solar Power Plant Data'!A41)</f>
        <v>15</v>
      </c>
      <c r="B42" s="21">
        <f>DAY('Solar Power Plant Data'!A41)</f>
        <v>1</v>
      </c>
      <c r="C42" s="21">
        <f>MONTH('Solar Power Plant Data'!A41)</f>
        <v>2</v>
      </c>
      <c r="D42" s="21" t="str">
        <f>TEXT('Solar Power Plant Data'!A41,"ddd")</f>
        <v>Wed</v>
      </c>
      <c r="E42" s="21">
        <f t="shared" si="1"/>
        <v>0</v>
      </c>
      <c r="F42" s="19">
        <f t="array" ref="F42">IF(ROW()&lt;25,"",INDEX('Solar Power Plant Data'!H:H,ROW()-1))</f>
        <v>51</v>
      </c>
      <c r="G42" s="19">
        <f>IF(ROW()&lt;25,"",AVERAGE(OFFSET('Solar Power Plant Data'!H64,-23,0,24,1)))
</f>
        <v>618682.6667</v>
      </c>
      <c r="H42" s="21">
        <f>'Solar Power Plant Data'!H41/MAX('Solar Power Plant Data'!E41,0.0001)
</f>
        <v>1.378378378</v>
      </c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  <row r="43">
      <c r="A43" s="21">
        <f>HOUR('Solar Power Plant Data'!A42)</f>
        <v>16</v>
      </c>
      <c r="B43" s="21">
        <f>DAY('Solar Power Plant Data'!A42)</f>
        <v>1</v>
      </c>
      <c r="C43" s="21">
        <f>MONTH('Solar Power Plant Data'!A42)</f>
        <v>2</v>
      </c>
      <c r="D43" s="21" t="str">
        <f>TEXT('Solar Power Plant Data'!A42,"ddd")</f>
        <v>Wed</v>
      </c>
      <c r="E43" s="21">
        <f t="shared" si="1"/>
        <v>0</v>
      </c>
      <c r="F43" s="19">
        <f t="array" ref="F43">IF(ROW()&lt;25,"",INDEX('Solar Power Plant Data'!H:H,ROW()-1))</f>
        <v>0</v>
      </c>
      <c r="G43" s="19">
        <f>IF(ROW()&lt;25,"",AVERAGE(OFFSET('Solar Power Plant Data'!H65,-23,0,24,1)))
</f>
        <v>632569.4583</v>
      </c>
      <c r="H43" s="21">
        <f>'Solar Power Plant Data'!H42/MAX('Solar Power Plant Data'!E42,0.0001)
</f>
        <v>0</v>
      </c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</row>
    <row r="44">
      <c r="A44" s="21">
        <f>HOUR('Solar Power Plant Data'!A43)</f>
        <v>17</v>
      </c>
      <c r="B44" s="21">
        <f>DAY('Solar Power Plant Data'!A43)</f>
        <v>1</v>
      </c>
      <c r="C44" s="21">
        <f>MONTH('Solar Power Plant Data'!A43)</f>
        <v>2</v>
      </c>
      <c r="D44" s="21" t="str">
        <f>TEXT('Solar Power Plant Data'!A43,"ddd")</f>
        <v>Wed</v>
      </c>
      <c r="E44" s="21">
        <f t="shared" si="1"/>
        <v>0</v>
      </c>
      <c r="F44" s="19">
        <f t="array" ref="F44">IF(ROW()&lt;25,"",INDEX('Solar Power Plant Data'!H:H,ROW()-1))</f>
        <v>0</v>
      </c>
      <c r="G44" s="19">
        <f>IF(ROW()&lt;25,"",AVERAGE(OFFSET('Solar Power Plant Data'!H66,-23,0,24,1)))
</f>
        <v>632569.4583</v>
      </c>
      <c r="H44" s="21">
        <f>'Solar Power Plant Data'!H43/MAX('Solar Power Plant Data'!E43,0.0001)
</f>
        <v>0</v>
      </c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</row>
    <row r="45">
      <c r="A45" s="21">
        <f>HOUR('Solar Power Plant Data'!A44)</f>
        <v>18</v>
      </c>
      <c r="B45" s="21">
        <f>DAY('Solar Power Plant Data'!A44)</f>
        <v>1</v>
      </c>
      <c r="C45" s="21">
        <f>MONTH('Solar Power Plant Data'!A44)</f>
        <v>2</v>
      </c>
      <c r="D45" s="21" t="str">
        <f>TEXT('Solar Power Plant Data'!A44,"ddd")</f>
        <v>Wed</v>
      </c>
      <c r="E45" s="21">
        <f t="shared" si="1"/>
        <v>0</v>
      </c>
      <c r="F45" s="19">
        <f t="array" ref="F45">IF(ROW()&lt;25,"",INDEX('Solar Power Plant Data'!H:H,ROW()-1))</f>
        <v>0</v>
      </c>
      <c r="G45" s="19">
        <f>IF(ROW()&lt;25,"",AVERAGE(OFFSET('Solar Power Plant Data'!H67,-23,0,24,1)))
</f>
        <v>632569.4583</v>
      </c>
      <c r="H45" s="21">
        <f>'Solar Power Plant Data'!H44/MAX('Solar Power Plant Data'!E44,0.0001)
</f>
        <v>0</v>
      </c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</row>
    <row r="46">
      <c r="A46" s="21">
        <f>HOUR('Solar Power Plant Data'!A45)</f>
        <v>19</v>
      </c>
      <c r="B46" s="21">
        <f>DAY('Solar Power Plant Data'!A45)</f>
        <v>1</v>
      </c>
      <c r="C46" s="21">
        <f>MONTH('Solar Power Plant Data'!A45)</f>
        <v>2</v>
      </c>
      <c r="D46" s="21" t="str">
        <f>TEXT('Solar Power Plant Data'!A45,"ddd")</f>
        <v>Wed</v>
      </c>
      <c r="E46" s="21">
        <f t="shared" si="1"/>
        <v>0</v>
      </c>
      <c r="F46" s="19">
        <f t="array" ref="F46">IF(ROW()&lt;25,"",INDEX('Solar Power Plant Data'!H:H,ROW()-1))</f>
        <v>0</v>
      </c>
      <c r="G46" s="19">
        <f>IF(ROW()&lt;25,"",AVERAGE(OFFSET('Solar Power Plant Data'!H68,-23,0,24,1)))
</f>
        <v>632569.4583</v>
      </c>
      <c r="H46" s="21">
        <f>'Solar Power Plant Data'!H45/MAX('Solar Power Plant Data'!E45,0.0001)
</f>
        <v>0</v>
      </c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</row>
    <row r="47">
      <c r="A47" s="21">
        <f>HOUR('Solar Power Plant Data'!A46)</f>
        <v>20</v>
      </c>
      <c r="B47" s="21">
        <f>DAY('Solar Power Plant Data'!A46)</f>
        <v>1</v>
      </c>
      <c r="C47" s="21">
        <f>MONTH('Solar Power Plant Data'!A46)</f>
        <v>2</v>
      </c>
      <c r="D47" s="21" t="str">
        <f>TEXT('Solar Power Plant Data'!A46,"ddd")</f>
        <v>Wed</v>
      </c>
      <c r="E47" s="21">
        <f t="shared" si="1"/>
        <v>0</v>
      </c>
      <c r="F47" s="19">
        <f t="array" ref="F47">IF(ROW()&lt;25,"",INDEX('Solar Power Plant Data'!H:H,ROW()-1))</f>
        <v>0</v>
      </c>
      <c r="G47" s="19">
        <f>IF(ROW()&lt;25,"",AVERAGE(OFFSET('Solar Power Plant Data'!H69,-23,0,24,1)))
</f>
        <v>632569.4583</v>
      </c>
      <c r="H47" s="21">
        <f>'Solar Power Plant Data'!H46/MAX('Solar Power Plant Data'!E46,0.0001)
</f>
        <v>0</v>
      </c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</row>
    <row r="48">
      <c r="A48" s="21">
        <f>HOUR('Solar Power Plant Data'!A47)</f>
        <v>21</v>
      </c>
      <c r="B48" s="21">
        <f>DAY('Solar Power Plant Data'!A47)</f>
        <v>1</v>
      </c>
      <c r="C48" s="21">
        <f>MONTH('Solar Power Plant Data'!A47)</f>
        <v>2</v>
      </c>
      <c r="D48" s="21" t="str">
        <f>TEXT('Solar Power Plant Data'!A47,"ddd")</f>
        <v>Wed</v>
      </c>
      <c r="E48" s="21">
        <f t="shared" si="1"/>
        <v>0</v>
      </c>
      <c r="F48" s="19">
        <f t="array" ref="F48">IF(ROW()&lt;25,"",INDEX('Solar Power Plant Data'!H:H,ROW()-1))</f>
        <v>0</v>
      </c>
      <c r="G48" s="19">
        <f>IF(ROW()&lt;25,"",AVERAGE(OFFSET('Solar Power Plant Data'!H70,-23,0,24,1)))
</f>
        <v>632569.4583</v>
      </c>
      <c r="H48" s="21">
        <f>'Solar Power Plant Data'!H47/MAX('Solar Power Plant Data'!E47,0.0001)
</f>
        <v>0</v>
      </c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</row>
    <row r="49">
      <c r="A49" s="21">
        <f>HOUR('Solar Power Plant Data'!A48)</f>
        <v>22</v>
      </c>
      <c r="B49" s="21">
        <f>DAY('Solar Power Plant Data'!A48)</f>
        <v>1</v>
      </c>
      <c r="C49" s="21">
        <f>MONTH('Solar Power Plant Data'!A48)</f>
        <v>2</v>
      </c>
      <c r="D49" s="21" t="str">
        <f>TEXT('Solar Power Plant Data'!A48,"ddd")</f>
        <v>Wed</v>
      </c>
      <c r="E49" s="21">
        <f t="shared" si="1"/>
        <v>0</v>
      </c>
      <c r="F49" s="19">
        <f t="array" ref="F49">IF(ROW()&lt;25,"",INDEX('Solar Power Plant Data'!H:H,ROW()-1))</f>
        <v>0</v>
      </c>
      <c r="G49" s="19">
        <f>IF(ROW()&lt;25,"",AVERAGE(OFFSET('Solar Power Plant Data'!H71,-23,0,24,1)))
</f>
        <v>632569.4583</v>
      </c>
      <c r="H49" s="21">
        <f>'Solar Power Plant Data'!H48/MAX('Solar Power Plant Data'!E48,0.0001)
</f>
        <v>0</v>
      </c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  <row r="50">
      <c r="A50" s="21">
        <f>HOUR('Solar Power Plant Data'!A49)</f>
        <v>23</v>
      </c>
      <c r="B50" s="21">
        <f>DAY('Solar Power Plant Data'!A49)</f>
        <v>1</v>
      </c>
      <c r="C50" s="21">
        <f>MONTH('Solar Power Plant Data'!A49)</f>
        <v>2</v>
      </c>
      <c r="D50" s="21" t="str">
        <f>TEXT('Solar Power Plant Data'!A49,"ddd")</f>
        <v>Wed</v>
      </c>
      <c r="E50" s="21">
        <f t="shared" si="1"/>
        <v>0</v>
      </c>
      <c r="F50" s="19">
        <f t="array" ref="F50">IF(ROW()&lt;25,"",INDEX('Solar Power Plant Data'!H:H,ROW()-1))</f>
        <v>0</v>
      </c>
      <c r="G50" s="19">
        <f>IF(ROW()&lt;25,"",AVERAGE(OFFSET('Solar Power Plant Data'!H72,-23,0,24,1)))
</f>
        <v>632569.4583</v>
      </c>
      <c r="H50" s="21">
        <f>'Solar Power Plant Data'!H49/MAX('Solar Power Plant Data'!E49,0.0001)
</f>
        <v>0</v>
      </c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</row>
    <row r="51">
      <c r="A51" s="21">
        <f>HOUR('Solar Power Plant Data'!A50)</f>
        <v>0</v>
      </c>
      <c r="B51" s="21">
        <f>DAY('Solar Power Plant Data'!A50)</f>
        <v>1</v>
      </c>
      <c r="C51" s="21">
        <f>MONTH('Solar Power Plant Data'!A50)</f>
        <v>3</v>
      </c>
      <c r="D51" s="21" t="str">
        <f>TEXT('Solar Power Plant Data'!A50,"ddd")</f>
        <v>Wed</v>
      </c>
      <c r="E51" s="21">
        <f t="shared" si="1"/>
        <v>0</v>
      </c>
      <c r="F51" s="19">
        <f t="array" ref="F51">IF(ROW()&lt;25,"",INDEX('Solar Power Plant Data'!H:H,ROW()-1))</f>
        <v>0</v>
      </c>
      <c r="G51" s="19">
        <f>IF(ROW()&lt;25,"",AVERAGE(OFFSET('Solar Power Plant Data'!H73,-23,0,24,1)))
</f>
        <v>632569.4583</v>
      </c>
      <c r="H51" s="21">
        <f>'Solar Power Plant Data'!H50/MAX('Solar Power Plant Data'!E50,0.0001)
</f>
        <v>0</v>
      </c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</row>
    <row r="52">
      <c r="A52" s="21">
        <f>HOUR('Solar Power Plant Data'!A51)</f>
        <v>1</v>
      </c>
      <c r="B52" s="21">
        <f>DAY('Solar Power Plant Data'!A51)</f>
        <v>1</v>
      </c>
      <c r="C52" s="21">
        <f>MONTH('Solar Power Plant Data'!A51)</f>
        <v>3</v>
      </c>
      <c r="D52" s="21" t="str">
        <f>TEXT('Solar Power Plant Data'!A51,"ddd")</f>
        <v>Wed</v>
      </c>
      <c r="E52" s="21">
        <f t="shared" si="1"/>
        <v>0</v>
      </c>
      <c r="F52" s="19">
        <f t="array" ref="F52">IF(ROW()&lt;25,"",INDEX('Solar Power Plant Data'!H:H,ROW()-1))</f>
        <v>0</v>
      </c>
      <c r="G52" s="19">
        <f>IF(ROW()&lt;25,"",AVERAGE(OFFSET('Solar Power Plant Data'!H74,-23,0,24,1)))
</f>
        <v>632569.4583</v>
      </c>
      <c r="H52" s="21">
        <f>'Solar Power Plant Data'!H51/MAX('Solar Power Plant Data'!E51,0.0001)
</f>
        <v>0</v>
      </c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</row>
    <row r="53">
      <c r="A53" s="21">
        <f>HOUR('Solar Power Plant Data'!A52)</f>
        <v>2</v>
      </c>
      <c r="B53" s="21">
        <f>DAY('Solar Power Plant Data'!A52)</f>
        <v>1</v>
      </c>
      <c r="C53" s="21">
        <f>MONTH('Solar Power Plant Data'!A52)</f>
        <v>3</v>
      </c>
      <c r="D53" s="21" t="str">
        <f>TEXT('Solar Power Plant Data'!A52,"ddd")</f>
        <v>Wed</v>
      </c>
      <c r="E53" s="21">
        <f t="shared" si="1"/>
        <v>0</v>
      </c>
      <c r="F53" s="19">
        <f t="array" ref="F53">IF(ROW()&lt;25,"",INDEX('Solar Power Plant Data'!H:H,ROW()-1))</f>
        <v>0</v>
      </c>
      <c r="G53" s="19">
        <f>IF(ROW()&lt;25,"",AVERAGE(OFFSET('Solar Power Plant Data'!H75,-23,0,24,1)))
</f>
        <v>632569.4583</v>
      </c>
      <c r="H53" s="21">
        <f>'Solar Power Plant Data'!H52/MAX('Solar Power Plant Data'!E52,0.0001)
</f>
        <v>0</v>
      </c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</row>
    <row r="54">
      <c r="A54" s="21">
        <f>HOUR('Solar Power Plant Data'!A53)</f>
        <v>3</v>
      </c>
      <c r="B54" s="21">
        <f>DAY('Solar Power Plant Data'!A53)</f>
        <v>1</v>
      </c>
      <c r="C54" s="21">
        <f>MONTH('Solar Power Plant Data'!A53)</f>
        <v>3</v>
      </c>
      <c r="D54" s="21" t="str">
        <f>TEXT('Solar Power Plant Data'!A53,"ddd")</f>
        <v>Wed</v>
      </c>
      <c r="E54" s="21">
        <f t="shared" si="1"/>
        <v>0</v>
      </c>
      <c r="F54" s="19">
        <f t="array" ref="F54">IF(ROW()&lt;25,"",INDEX('Solar Power Plant Data'!H:H,ROW()-1))</f>
        <v>0</v>
      </c>
      <c r="G54" s="19">
        <f>IF(ROW()&lt;25,"",AVERAGE(OFFSET('Solar Power Plant Data'!H76,-23,0,24,1)))
</f>
        <v>632569.4583</v>
      </c>
      <c r="H54" s="21">
        <f>'Solar Power Plant Data'!H53/MAX('Solar Power Plant Data'!E53,0.0001)
</f>
        <v>0</v>
      </c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</row>
    <row r="55">
      <c r="A55" s="21">
        <f>HOUR('Solar Power Plant Data'!A54)</f>
        <v>4</v>
      </c>
      <c r="B55" s="21">
        <f>DAY('Solar Power Plant Data'!A54)</f>
        <v>1</v>
      </c>
      <c r="C55" s="21">
        <f>MONTH('Solar Power Plant Data'!A54)</f>
        <v>3</v>
      </c>
      <c r="D55" s="21" t="str">
        <f>TEXT('Solar Power Plant Data'!A54,"ddd")</f>
        <v>Wed</v>
      </c>
      <c r="E55" s="21">
        <f t="shared" si="1"/>
        <v>0</v>
      </c>
      <c r="F55" s="19">
        <f t="array" ref="F55">IF(ROW()&lt;25,"",INDEX('Solar Power Plant Data'!H:H,ROW()-1))</f>
        <v>0</v>
      </c>
      <c r="G55" s="19">
        <f>IF(ROW()&lt;25,"",AVERAGE(OFFSET('Solar Power Plant Data'!H77,-23,0,24,1)))
</f>
        <v>632569.4583</v>
      </c>
      <c r="H55" s="21">
        <f>'Solar Power Plant Data'!H54/MAX('Solar Power Plant Data'!E54,0.0001)
</f>
        <v>0</v>
      </c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</row>
    <row r="56">
      <c r="A56" s="21">
        <f>HOUR('Solar Power Plant Data'!A55)</f>
        <v>5</v>
      </c>
      <c r="B56" s="21">
        <f>DAY('Solar Power Plant Data'!A55)</f>
        <v>1</v>
      </c>
      <c r="C56" s="21">
        <f>MONTH('Solar Power Plant Data'!A55)</f>
        <v>3</v>
      </c>
      <c r="D56" s="21" t="str">
        <f>TEXT('Solar Power Plant Data'!A55,"ddd")</f>
        <v>Wed</v>
      </c>
      <c r="E56" s="21">
        <f t="shared" si="1"/>
        <v>0</v>
      </c>
      <c r="F56" s="19">
        <f t="array" ref="F56">IF(ROW()&lt;25,"",INDEX('Solar Power Plant Data'!H:H,ROW()-1))</f>
        <v>0</v>
      </c>
      <c r="G56" s="19">
        <f>IF(ROW()&lt;25,"",AVERAGE(OFFSET('Solar Power Plant Data'!H78,-23,0,24,1)))
</f>
        <v>632569.4583</v>
      </c>
      <c r="H56" s="21">
        <f>'Solar Power Plant Data'!H55/MAX('Solar Power Plant Data'!E55,0.0001)
</f>
        <v>0</v>
      </c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</row>
    <row r="57">
      <c r="A57" s="21">
        <f>HOUR('Solar Power Plant Data'!A56)</f>
        <v>6</v>
      </c>
      <c r="B57" s="21">
        <f>DAY('Solar Power Plant Data'!A56)</f>
        <v>1</v>
      </c>
      <c r="C57" s="21">
        <f>MONTH('Solar Power Plant Data'!A56)</f>
        <v>3</v>
      </c>
      <c r="D57" s="21" t="str">
        <f>TEXT('Solar Power Plant Data'!A56,"ddd")</f>
        <v>Wed</v>
      </c>
      <c r="E57" s="21">
        <f t="shared" si="1"/>
        <v>0</v>
      </c>
      <c r="F57" s="19">
        <f t="array" ref="F57">IF(ROW()&lt;25,"",INDEX('Solar Power Plant Data'!H:H,ROW()-1))</f>
        <v>0</v>
      </c>
      <c r="G57" s="19">
        <f>IF(ROW()&lt;25,"",AVERAGE(OFFSET('Solar Power Plant Data'!H79,-23,0,24,1)))
</f>
        <v>632569.4583</v>
      </c>
      <c r="H57" s="21">
        <f>'Solar Power Plant Data'!H56/MAX('Solar Power Plant Data'!E56,0.0001)
</f>
        <v>0</v>
      </c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</row>
    <row r="58">
      <c r="A58" s="21">
        <f>HOUR('Solar Power Plant Data'!A57)</f>
        <v>7</v>
      </c>
      <c r="B58" s="21">
        <f>DAY('Solar Power Plant Data'!A57)</f>
        <v>1</v>
      </c>
      <c r="C58" s="21">
        <f>MONTH('Solar Power Plant Data'!A57)</f>
        <v>3</v>
      </c>
      <c r="D58" s="21" t="str">
        <f>TEXT('Solar Power Plant Data'!A57,"ddd")</f>
        <v>Wed</v>
      </c>
      <c r="E58" s="21">
        <f t="shared" si="1"/>
        <v>0</v>
      </c>
      <c r="F58" s="19">
        <f t="array" ref="F58">IF(ROW()&lt;25,"",INDEX('Solar Power Plant Data'!H:H,ROW()-1))</f>
        <v>0</v>
      </c>
      <c r="G58" s="19">
        <f>IF(ROW()&lt;25,"",AVERAGE(OFFSET('Solar Power Plant Data'!H80,-23,0,24,1)))
</f>
        <v>632569.4583</v>
      </c>
      <c r="H58" s="21">
        <f>'Solar Power Plant Data'!H57/MAX('Solar Power Plant Data'!E57,0.0001)
</f>
        <v>0</v>
      </c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</row>
    <row r="59">
      <c r="A59" s="21">
        <f>HOUR('Solar Power Plant Data'!A58)</f>
        <v>8</v>
      </c>
      <c r="B59" s="21">
        <f>DAY('Solar Power Plant Data'!A58)</f>
        <v>1</v>
      </c>
      <c r="C59" s="21">
        <f>MONTH('Solar Power Plant Data'!A58)</f>
        <v>3</v>
      </c>
      <c r="D59" s="21" t="str">
        <f>TEXT('Solar Power Plant Data'!A58,"ddd")</f>
        <v>Wed</v>
      </c>
      <c r="E59" s="21">
        <f t="shared" si="1"/>
        <v>0</v>
      </c>
      <c r="F59" s="19">
        <f t="array" ref="F59">IF(ROW()&lt;25,"",INDEX('Solar Power Plant Data'!H:H,ROW()-1))</f>
        <v>0</v>
      </c>
      <c r="G59" s="19">
        <f>IF(ROW()&lt;25,"",AVERAGE(OFFSET('Solar Power Plant Data'!H81,-23,0,24,1)))
</f>
        <v>632569.4583</v>
      </c>
      <c r="H59" s="21">
        <f>'Solar Power Plant Data'!H58/MAX('Solar Power Plant Data'!E58,0.0001)
</f>
        <v>0</v>
      </c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</row>
    <row r="60">
      <c r="A60" s="21">
        <f>HOUR('Solar Power Plant Data'!A59)</f>
        <v>9</v>
      </c>
      <c r="B60" s="21">
        <f>DAY('Solar Power Plant Data'!A59)</f>
        <v>1</v>
      </c>
      <c r="C60" s="21">
        <f>MONTH('Solar Power Plant Data'!A59)</f>
        <v>3</v>
      </c>
      <c r="D60" s="21" t="str">
        <f>TEXT('Solar Power Plant Data'!A59,"ddd")</f>
        <v>Wed</v>
      </c>
      <c r="E60" s="21">
        <f t="shared" si="1"/>
        <v>0</v>
      </c>
      <c r="F60" s="19">
        <f t="array" ref="F60">IF(ROW()&lt;25,"",INDEX('Solar Power Plant Data'!H:H,ROW()-1))</f>
        <v>0</v>
      </c>
      <c r="G60" s="19">
        <f>IF(ROW()&lt;25,"",AVERAGE(OFFSET('Solar Power Plant Data'!H82,-23,0,24,1)))
</f>
        <v>632569.4583</v>
      </c>
      <c r="H60" s="21">
        <f>'Solar Power Plant Data'!H59/MAX('Solar Power Plant Data'!E59,0.0001)
</f>
        <v>0</v>
      </c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</row>
    <row r="61">
      <c r="A61" s="21">
        <f>HOUR('Solar Power Plant Data'!A60)</f>
        <v>10</v>
      </c>
      <c r="B61" s="21">
        <f>DAY('Solar Power Plant Data'!A60)</f>
        <v>1</v>
      </c>
      <c r="C61" s="21">
        <f>MONTH('Solar Power Plant Data'!A60)</f>
        <v>3</v>
      </c>
      <c r="D61" s="21" t="str">
        <f>TEXT('Solar Power Plant Data'!A60,"ddd")</f>
        <v>Wed</v>
      </c>
      <c r="E61" s="21">
        <f t="shared" si="1"/>
        <v>0</v>
      </c>
      <c r="F61" s="19">
        <f t="array" ref="F61">IF(ROW()&lt;25,"",INDEX('Solar Power Plant Data'!H:H,ROW()-1))</f>
        <v>0</v>
      </c>
      <c r="G61" s="19">
        <f>IF(ROW()&lt;25,"",AVERAGE(OFFSET('Solar Power Plant Data'!H83,-23,0,24,1)))
</f>
        <v>632569.4583</v>
      </c>
      <c r="H61" s="21">
        <f>'Solar Power Plant Data'!H60/MAX('Solar Power Plant Data'!E60,0.0001)
</f>
        <v>0</v>
      </c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</row>
    <row r="62">
      <c r="A62" s="21">
        <f>HOUR('Solar Power Plant Data'!A61)</f>
        <v>11</v>
      </c>
      <c r="B62" s="21">
        <f>DAY('Solar Power Plant Data'!A61)</f>
        <v>1</v>
      </c>
      <c r="C62" s="21">
        <f>MONTH('Solar Power Plant Data'!A61)</f>
        <v>3</v>
      </c>
      <c r="D62" s="21" t="str">
        <f>TEXT('Solar Power Plant Data'!A61,"ddd")</f>
        <v>Wed</v>
      </c>
      <c r="E62" s="21">
        <f t="shared" si="1"/>
        <v>0</v>
      </c>
      <c r="F62" s="19">
        <f t="array" ref="F62">IF(ROW()&lt;25,"",INDEX('Solar Power Plant Data'!H:H,ROW()-1))</f>
        <v>0</v>
      </c>
      <c r="G62" s="19">
        <f>IF(ROW()&lt;25,"",AVERAGE(OFFSET('Solar Power Plant Data'!H84,-23,0,24,1)))
</f>
        <v>632569.4583</v>
      </c>
      <c r="H62" s="21">
        <f>'Solar Power Plant Data'!H61/MAX('Solar Power Plant Data'!E61,0.0001)
</f>
        <v>0</v>
      </c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</row>
    <row r="63">
      <c r="A63" s="21">
        <f>HOUR('Solar Power Plant Data'!A62)</f>
        <v>12</v>
      </c>
      <c r="B63" s="21">
        <f>DAY('Solar Power Plant Data'!A62)</f>
        <v>1</v>
      </c>
      <c r="C63" s="21">
        <f>MONTH('Solar Power Plant Data'!A62)</f>
        <v>3</v>
      </c>
      <c r="D63" s="21" t="str">
        <f>TEXT('Solar Power Plant Data'!A62,"ddd")</f>
        <v>Wed</v>
      </c>
      <c r="E63" s="21">
        <f t="shared" si="1"/>
        <v>0</v>
      </c>
      <c r="F63" s="19">
        <f t="array" ref="F63">IF(ROW()&lt;25,"",INDEX('Solar Power Plant Data'!H:H,ROW()-1))</f>
        <v>5921666</v>
      </c>
      <c r="G63" s="19">
        <f>IF(ROW()&lt;25,"",AVERAGE(OFFSET('Solar Power Plant Data'!H85,-23,0,24,1)))
</f>
        <v>632569.4583</v>
      </c>
      <c r="H63" s="21">
        <f>'Solar Power Plant Data'!H62/MAX('Solar Power Plant Data'!E62,0.0001)
</f>
        <v>59216660000</v>
      </c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</row>
    <row r="64">
      <c r="A64" s="21">
        <f>HOUR('Solar Power Plant Data'!A63)</f>
        <v>13</v>
      </c>
      <c r="B64" s="21">
        <f>DAY('Solar Power Plant Data'!A63)</f>
        <v>1</v>
      </c>
      <c r="C64" s="21">
        <f>MONTH('Solar Power Plant Data'!A63)</f>
        <v>3</v>
      </c>
      <c r="D64" s="21" t="str">
        <f>TEXT('Solar Power Plant Data'!A63,"ddd")</f>
        <v>Wed</v>
      </c>
      <c r="E64" s="21">
        <f t="shared" si="1"/>
        <v>0</v>
      </c>
      <c r="F64" s="19">
        <f t="array" ref="F64">IF(ROW()&lt;25,"",INDEX('Solar Power Plant Data'!H:H,ROW()-1))</f>
        <v>6388333</v>
      </c>
      <c r="G64" s="19">
        <f>IF(ROW()&lt;25,"",AVERAGE(OFFSET('Solar Power Plant Data'!H86,-23,0,24,1)))
</f>
        <v>439548.625</v>
      </c>
      <c r="H64" s="21">
        <f>'Solar Power Plant Data'!H63/MAX('Solar Power Plant Data'!E63,0.0001)
</f>
        <v>63883330000</v>
      </c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</row>
    <row r="65">
      <c r="A65" s="21">
        <f>HOUR('Solar Power Plant Data'!A64)</f>
        <v>14</v>
      </c>
      <c r="B65" s="21">
        <f>DAY('Solar Power Plant Data'!A64)</f>
        <v>1</v>
      </c>
      <c r="C65" s="21">
        <f>MONTH('Solar Power Plant Data'!A64)</f>
        <v>3</v>
      </c>
      <c r="D65" s="21" t="str">
        <f>TEXT('Solar Power Plant Data'!A64,"ddd")</f>
        <v>Wed</v>
      </c>
      <c r="E65" s="21">
        <f t="shared" si="1"/>
        <v>0</v>
      </c>
      <c r="F65" s="19">
        <f t="array" ref="F65">IF(ROW()&lt;25,"",INDEX('Solar Power Plant Data'!H:H,ROW()-1))</f>
        <v>2538334</v>
      </c>
      <c r="G65" s="19">
        <f>IF(ROW()&lt;25,"",AVERAGE(OFFSET('Solar Power Plant Data'!H87,-23,0,24,1)))
</f>
        <v>173372.3333</v>
      </c>
      <c r="H65" s="21">
        <f>'Solar Power Plant Data'!H64/MAX('Solar Power Plant Data'!E64,0.0001)
</f>
        <v>25383340000</v>
      </c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</row>
    <row r="66">
      <c r="A66" s="21">
        <f>HOUR('Solar Power Plant Data'!A65)</f>
        <v>15</v>
      </c>
      <c r="B66" s="21">
        <f>DAY('Solar Power Plant Data'!A65)</f>
        <v>1</v>
      </c>
      <c r="C66" s="21">
        <f>MONTH('Solar Power Plant Data'!A65)</f>
        <v>3</v>
      </c>
      <c r="D66" s="21" t="str">
        <f>TEXT('Solar Power Plant Data'!A65,"ddd")</f>
        <v>Wed</v>
      </c>
      <c r="E66" s="21">
        <f t="shared" si="1"/>
        <v>0</v>
      </c>
      <c r="F66" s="19">
        <f t="array" ref="F66">IF(ROW()&lt;25,"",INDEX('Solar Power Plant Data'!H:H,ROW()-1))</f>
        <v>333334</v>
      </c>
      <c r="G66" s="19">
        <f>IF(ROW()&lt;25,"",AVERAGE(OFFSET('Solar Power Plant Data'!H88,-23,0,24,1)))
</f>
        <v>67609.16667</v>
      </c>
      <c r="H66" s="21">
        <f>'Solar Power Plant Data'!H65/MAX('Solar Power Plant Data'!E65,0.0001)
</f>
        <v>3333340000</v>
      </c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</row>
    <row r="67">
      <c r="A67" s="21">
        <f>HOUR('Solar Power Plant Data'!A66)</f>
        <v>16</v>
      </c>
      <c r="B67" s="21">
        <f>DAY('Solar Power Plant Data'!A66)</f>
        <v>1</v>
      </c>
      <c r="C67" s="21">
        <f>MONTH('Solar Power Plant Data'!A66)</f>
        <v>3</v>
      </c>
      <c r="D67" s="21" t="str">
        <f>TEXT('Solar Power Plant Data'!A66,"ddd")</f>
        <v>Wed</v>
      </c>
      <c r="E67" s="21">
        <f t="shared" si="1"/>
        <v>0</v>
      </c>
      <c r="F67" s="19">
        <f t="array" ref="F67">IF(ROW()&lt;25,"",INDEX('Solar Power Plant Data'!H:H,ROW()-1))</f>
        <v>0</v>
      </c>
      <c r="G67" s="19">
        <f>IF(ROW()&lt;25,"",AVERAGE(OFFSET('Solar Power Plant Data'!H89,-23,0,24,1)))
</f>
        <v>53720.25</v>
      </c>
      <c r="H67" s="21">
        <f>'Solar Power Plant Data'!H66/MAX('Solar Power Plant Data'!E66,0.0001)
</f>
        <v>0</v>
      </c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</row>
    <row r="68">
      <c r="A68" s="21">
        <f>HOUR('Solar Power Plant Data'!A67)</f>
        <v>17</v>
      </c>
      <c r="B68" s="21">
        <f>DAY('Solar Power Plant Data'!A67)</f>
        <v>1</v>
      </c>
      <c r="C68" s="21">
        <f>MONTH('Solar Power Plant Data'!A67)</f>
        <v>3</v>
      </c>
      <c r="D68" s="21" t="str">
        <f>TEXT('Solar Power Plant Data'!A67,"ddd")</f>
        <v>Wed</v>
      </c>
      <c r="E68" s="21">
        <f t="shared" si="1"/>
        <v>0</v>
      </c>
      <c r="F68" s="19">
        <f t="array" ref="F68">IF(ROW()&lt;25,"",INDEX('Solar Power Plant Data'!H:H,ROW()-1))</f>
        <v>0</v>
      </c>
      <c r="G68" s="19">
        <f>IF(ROW()&lt;25,"",AVERAGE(OFFSET('Solar Power Plant Data'!H90,-23,0,24,1)))
</f>
        <v>53720.25</v>
      </c>
      <c r="H68" s="21">
        <f>'Solar Power Plant Data'!H67/MAX('Solar Power Plant Data'!E67,0.0001)
</f>
        <v>0</v>
      </c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</row>
    <row r="69">
      <c r="A69" s="21">
        <f>HOUR('Solar Power Plant Data'!A68)</f>
        <v>18</v>
      </c>
      <c r="B69" s="21">
        <f>DAY('Solar Power Plant Data'!A68)</f>
        <v>1</v>
      </c>
      <c r="C69" s="21">
        <f>MONTH('Solar Power Plant Data'!A68)</f>
        <v>3</v>
      </c>
      <c r="D69" s="21" t="str">
        <f>TEXT('Solar Power Plant Data'!A68,"ddd")</f>
        <v>Wed</v>
      </c>
      <c r="E69" s="21">
        <f t="shared" si="1"/>
        <v>0</v>
      </c>
      <c r="F69" s="19">
        <f t="array" ref="F69">IF(ROW()&lt;25,"",INDEX('Solar Power Plant Data'!H:H,ROW()-1))</f>
        <v>0</v>
      </c>
      <c r="G69" s="19">
        <f>IF(ROW()&lt;25,"",AVERAGE(OFFSET('Solar Power Plant Data'!H91,-23,0,24,1)))
</f>
        <v>53720.25</v>
      </c>
      <c r="H69" s="21">
        <f>'Solar Power Plant Data'!H68/MAX('Solar Power Plant Data'!E68,0.0001)
</f>
        <v>0</v>
      </c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</row>
    <row r="70">
      <c r="A70" s="21">
        <f>HOUR('Solar Power Plant Data'!A69)</f>
        <v>19</v>
      </c>
      <c r="B70" s="21">
        <f>DAY('Solar Power Plant Data'!A69)</f>
        <v>1</v>
      </c>
      <c r="C70" s="21">
        <f>MONTH('Solar Power Plant Data'!A69)</f>
        <v>3</v>
      </c>
      <c r="D70" s="21" t="str">
        <f>TEXT('Solar Power Plant Data'!A69,"ddd")</f>
        <v>Wed</v>
      </c>
      <c r="E70" s="21">
        <f t="shared" si="1"/>
        <v>0</v>
      </c>
      <c r="F70" s="19">
        <f t="array" ref="F70">IF(ROW()&lt;25,"",INDEX('Solar Power Plant Data'!H:H,ROW()-1))</f>
        <v>0</v>
      </c>
      <c r="G70" s="19">
        <f>IF(ROW()&lt;25,"",AVERAGE(OFFSET('Solar Power Plant Data'!H92,-23,0,24,1)))
</f>
        <v>53720.25</v>
      </c>
      <c r="H70" s="21">
        <f>'Solar Power Plant Data'!H69/MAX('Solar Power Plant Data'!E69,0.0001)
</f>
        <v>0</v>
      </c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</row>
    <row r="71">
      <c r="A71" s="21">
        <f>HOUR('Solar Power Plant Data'!A70)</f>
        <v>20</v>
      </c>
      <c r="B71" s="21">
        <f>DAY('Solar Power Plant Data'!A70)</f>
        <v>1</v>
      </c>
      <c r="C71" s="21">
        <f>MONTH('Solar Power Plant Data'!A70)</f>
        <v>3</v>
      </c>
      <c r="D71" s="21" t="str">
        <f>TEXT('Solar Power Plant Data'!A70,"ddd")</f>
        <v>Wed</v>
      </c>
      <c r="E71" s="21">
        <f t="shared" si="1"/>
        <v>0</v>
      </c>
      <c r="F71" s="19">
        <f t="array" ref="F71">IF(ROW()&lt;25,"",INDEX('Solar Power Plant Data'!H:H,ROW()-1))</f>
        <v>0</v>
      </c>
      <c r="G71" s="19">
        <f>IF(ROW()&lt;25,"",AVERAGE(OFFSET('Solar Power Plant Data'!H93,-23,0,24,1)))
</f>
        <v>53720.25</v>
      </c>
      <c r="H71" s="21">
        <f>'Solar Power Plant Data'!H70/MAX('Solar Power Plant Data'!E70,0.0001)
</f>
        <v>0</v>
      </c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</row>
    <row r="72">
      <c r="A72" s="21">
        <f>HOUR('Solar Power Plant Data'!A71)</f>
        <v>21</v>
      </c>
      <c r="B72" s="21">
        <f>DAY('Solar Power Plant Data'!A71)</f>
        <v>1</v>
      </c>
      <c r="C72" s="21">
        <f>MONTH('Solar Power Plant Data'!A71)</f>
        <v>3</v>
      </c>
      <c r="D72" s="21" t="str">
        <f>TEXT('Solar Power Plant Data'!A71,"ddd")</f>
        <v>Wed</v>
      </c>
      <c r="E72" s="21">
        <f t="shared" si="1"/>
        <v>0</v>
      </c>
      <c r="F72" s="19">
        <f t="array" ref="F72">IF(ROW()&lt;25,"",INDEX('Solar Power Plant Data'!H:H,ROW()-1))</f>
        <v>0</v>
      </c>
      <c r="G72" s="19">
        <f>IF(ROW()&lt;25,"",AVERAGE(OFFSET('Solar Power Plant Data'!H94,-23,0,24,1)))
</f>
        <v>53720.25</v>
      </c>
      <c r="H72" s="21">
        <f>'Solar Power Plant Data'!H71/MAX('Solar Power Plant Data'!E71,0.0001)
</f>
        <v>0</v>
      </c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</row>
    <row r="73">
      <c r="A73" s="21">
        <f>HOUR('Solar Power Plant Data'!A72)</f>
        <v>22</v>
      </c>
      <c r="B73" s="21">
        <f>DAY('Solar Power Plant Data'!A72)</f>
        <v>1</v>
      </c>
      <c r="C73" s="21">
        <f>MONTH('Solar Power Plant Data'!A72)</f>
        <v>3</v>
      </c>
      <c r="D73" s="21" t="str">
        <f>TEXT('Solar Power Plant Data'!A72,"ddd")</f>
        <v>Wed</v>
      </c>
      <c r="E73" s="21">
        <f t="shared" si="1"/>
        <v>0</v>
      </c>
      <c r="F73" s="19">
        <f t="array" ref="F73">IF(ROW()&lt;25,"",INDEX('Solar Power Plant Data'!H:H,ROW()-1))</f>
        <v>0</v>
      </c>
      <c r="G73" s="19">
        <f>IF(ROW()&lt;25,"",AVERAGE(OFFSET('Solar Power Plant Data'!H95,-23,0,24,1)))
</f>
        <v>53720.25</v>
      </c>
      <c r="H73" s="21">
        <f>'Solar Power Plant Data'!H72/MAX('Solar Power Plant Data'!E72,0.0001)
</f>
        <v>0</v>
      </c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</row>
    <row r="74">
      <c r="A74" s="21">
        <f>HOUR('Solar Power Plant Data'!A73)</f>
        <v>23</v>
      </c>
      <c r="B74" s="21">
        <f>DAY('Solar Power Plant Data'!A73)</f>
        <v>1</v>
      </c>
      <c r="C74" s="21">
        <f>MONTH('Solar Power Plant Data'!A73)</f>
        <v>3</v>
      </c>
      <c r="D74" s="21" t="str">
        <f>TEXT('Solar Power Plant Data'!A73,"ddd")</f>
        <v>Wed</v>
      </c>
      <c r="E74" s="21">
        <f t="shared" si="1"/>
        <v>0</v>
      </c>
      <c r="F74" s="19">
        <f t="array" ref="F74">IF(ROW()&lt;25,"",INDEX('Solar Power Plant Data'!H:H,ROW()-1))</f>
        <v>0</v>
      </c>
      <c r="G74" s="19">
        <f>IF(ROW()&lt;25,"",AVERAGE(OFFSET('Solar Power Plant Data'!H96,-23,0,24,1)))
</f>
        <v>53720.25</v>
      </c>
      <c r="H74" s="21">
        <f>'Solar Power Plant Data'!H73/MAX('Solar Power Plant Data'!E73,0.0001)
</f>
        <v>0</v>
      </c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</row>
    <row r="75">
      <c r="A75" s="21">
        <f>HOUR('Solar Power Plant Data'!A74)</f>
        <v>0</v>
      </c>
      <c r="B75" s="21">
        <f>DAY('Solar Power Plant Data'!A74)</f>
        <v>1</v>
      </c>
      <c r="C75" s="21">
        <f>MONTH('Solar Power Plant Data'!A74)</f>
        <v>4</v>
      </c>
      <c r="D75" s="21" t="str">
        <f>TEXT('Solar Power Plant Data'!A74,"ddd")</f>
        <v>Sat</v>
      </c>
      <c r="E75" s="21">
        <f t="shared" si="1"/>
        <v>1</v>
      </c>
      <c r="F75" s="19">
        <f t="array" ref="F75">IF(ROW()&lt;25,"",INDEX('Solar Power Plant Data'!H:H,ROW()-1))</f>
        <v>0</v>
      </c>
      <c r="G75" s="19">
        <f>IF(ROW()&lt;25,"",AVERAGE(OFFSET('Solar Power Plant Data'!H97,-23,0,24,1)))
</f>
        <v>53720.25</v>
      </c>
      <c r="H75" s="21">
        <f>'Solar Power Plant Data'!H74/MAX('Solar Power Plant Data'!E74,0.0001)
</f>
        <v>0</v>
      </c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</row>
    <row r="76">
      <c r="A76" s="21">
        <f>HOUR('Solar Power Plant Data'!A75)</f>
        <v>1</v>
      </c>
      <c r="B76" s="21">
        <f>DAY('Solar Power Plant Data'!A75)</f>
        <v>1</v>
      </c>
      <c r="C76" s="21">
        <f>MONTH('Solar Power Plant Data'!A75)</f>
        <v>4</v>
      </c>
      <c r="D76" s="21" t="str">
        <f>TEXT('Solar Power Plant Data'!A75,"ddd")</f>
        <v>Sat</v>
      </c>
      <c r="E76" s="21">
        <f t="shared" si="1"/>
        <v>1</v>
      </c>
      <c r="F76" s="19">
        <f t="array" ref="F76">IF(ROW()&lt;25,"",INDEX('Solar Power Plant Data'!H:H,ROW()-1))</f>
        <v>0</v>
      </c>
      <c r="G76" s="19">
        <f>IF(ROW()&lt;25,"",AVERAGE(OFFSET('Solar Power Plant Data'!H98,-23,0,24,1)))
</f>
        <v>53720.25</v>
      </c>
      <c r="H76" s="21">
        <f>'Solar Power Plant Data'!H75/MAX('Solar Power Plant Data'!E75,0.0001)
</f>
        <v>0</v>
      </c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</row>
    <row r="77">
      <c r="A77" s="21">
        <f>HOUR('Solar Power Plant Data'!A76)</f>
        <v>2</v>
      </c>
      <c r="B77" s="21">
        <f>DAY('Solar Power Plant Data'!A76)</f>
        <v>1</v>
      </c>
      <c r="C77" s="21">
        <f>MONTH('Solar Power Plant Data'!A76)</f>
        <v>4</v>
      </c>
      <c r="D77" s="21" t="str">
        <f>TEXT('Solar Power Plant Data'!A76,"ddd")</f>
        <v>Sat</v>
      </c>
      <c r="E77" s="21">
        <f t="shared" si="1"/>
        <v>1</v>
      </c>
      <c r="F77" s="19">
        <f t="array" ref="F77">IF(ROW()&lt;25,"",INDEX('Solar Power Plant Data'!H:H,ROW()-1))</f>
        <v>0</v>
      </c>
      <c r="G77" s="19">
        <f>IF(ROW()&lt;25,"",AVERAGE(OFFSET('Solar Power Plant Data'!H99,-23,0,24,1)))
</f>
        <v>53720.25</v>
      </c>
      <c r="H77" s="21">
        <f>'Solar Power Plant Data'!H76/MAX('Solar Power Plant Data'!E76,0.0001)
</f>
        <v>0</v>
      </c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</row>
    <row r="78">
      <c r="A78" s="21">
        <f>HOUR('Solar Power Plant Data'!A77)</f>
        <v>3</v>
      </c>
      <c r="B78" s="21">
        <f>DAY('Solar Power Plant Data'!A77)</f>
        <v>1</v>
      </c>
      <c r="C78" s="21">
        <f>MONTH('Solar Power Plant Data'!A77)</f>
        <v>4</v>
      </c>
      <c r="D78" s="21" t="str">
        <f>TEXT('Solar Power Plant Data'!A77,"ddd")</f>
        <v>Sat</v>
      </c>
      <c r="E78" s="21">
        <f t="shared" si="1"/>
        <v>1</v>
      </c>
      <c r="F78" s="19">
        <f t="array" ref="F78">IF(ROW()&lt;25,"",INDEX('Solar Power Plant Data'!H:H,ROW()-1))</f>
        <v>0</v>
      </c>
      <c r="G78" s="19">
        <f>IF(ROW()&lt;25,"",AVERAGE(OFFSET('Solar Power Plant Data'!H100,-23,0,24,1)))
</f>
        <v>53720.25</v>
      </c>
      <c r="H78" s="21">
        <f>'Solar Power Plant Data'!H77/MAX('Solar Power Plant Data'!E77,0.0001)
</f>
        <v>0</v>
      </c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</row>
    <row r="79">
      <c r="A79" s="21">
        <f>HOUR('Solar Power Plant Data'!A78)</f>
        <v>4</v>
      </c>
      <c r="B79" s="21">
        <f>DAY('Solar Power Plant Data'!A78)</f>
        <v>1</v>
      </c>
      <c r="C79" s="21">
        <f>MONTH('Solar Power Plant Data'!A78)</f>
        <v>4</v>
      </c>
      <c r="D79" s="21" t="str">
        <f>TEXT('Solar Power Plant Data'!A78,"ddd")</f>
        <v>Sat</v>
      </c>
      <c r="E79" s="21">
        <f t="shared" si="1"/>
        <v>1</v>
      </c>
      <c r="F79" s="19">
        <f t="array" ref="F79">IF(ROW()&lt;25,"",INDEX('Solar Power Plant Data'!H:H,ROW()-1))</f>
        <v>0</v>
      </c>
      <c r="G79" s="19">
        <f>IF(ROW()&lt;25,"",AVERAGE(OFFSET('Solar Power Plant Data'!H101,-23,0,24,1)))
</f>
        <v>53720.25</v>
      </c>
      <c r="H79" s="21">
        <f>'Solar Power Plant Data'!H78/MAX('Solar Power Plant Data'!E78,0.0001)
</f>
        <v>0</v>
      </c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</row>
    <row r="80">
      <c r="A80" s="21">
        <f>HOUR('Solar Power Plant Data'!A79)</f>
        <v>5</v>
      </c>
      <c r="B80" s="21">
        <f>DAY('Solar Power Plant Data'!A79)</f>
        <v>1</v>
      </c>
      <c r="C80" s="21">
        <f>MONTH('Solar Power Plant Data'!A79)</f>
        <v>4</v>
      </c>
      <c r="D80" s="21" t="str">
        <f>TEXT('Solar Power Plant Data'!A79,"ddd")</f>
        <v>Sat</v>
      </c>
      <c r="E80" s="21">
        <f t="shared" si="1"/>
        <v>1</v>
      </c>
      <c r="F80" s="19">
        <f t="array" ref="F80">IF(ROW()&lt;25,"",INDEX('Solar Power Plant Data'!H:H,ROW()-1))</f>
        <v>0</v>
      </c>
      <c r="G80" s="19">
        <f>IF(ROW()&lt;25,"",AVERAGE(OFFSET('Solar Power Plant Data'!H102,-23,0,24,1)))
</f>
        <v>53720.25</v>
      </c>
      <c r="H80" s="21">
        <f>'Solar Power Plant Data'!H79/MAX('Solar Power Plant Data'!E79,0.0001)
</f>
        <v>0</v>
      </c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</row>
    <row r="81">
      <c r="A81" s="21">
        <f>HOUR('Solar Power Plant Data'!A80)</f>
        <v>6</v>
      </c>
      <c r="B81" s="21">
        <f>DAY('Solar Power Plant Data'!A80)</f>
        <v>1</v>
      </c>
      <c r="C81" s="21">
        <f>MONTH('Solar Power Plant Data'!A80)</f>
        <v>4</v>
      </c>
      <c r="D81" s="21" t="str">
        <f>TEXT('Solar Power Plant Data'!A80,"ddd")</f>
        <v>Sat</v>
      </c>
      <c r="E81" s="21">
        <f t="shared" si="1"/>
        <v>1</v>
      </c>
      <c r="F81" s="19">
        <f t="array" ref="F81">IF(ROW()&lt;25,"",INDEX('Solar Power Plant Data'!H:H,ROW()-1))</f>
        <v>0</v>
      </c>
      <c r="G81" s="19">
        <f>IF(ROW()&lt;25,"",AVERAGE(OFFSET('Solar Power Plant Data'!H103,-23,0,24,1)))
</f>
        <v>53720.25</v>
      </c>
      <c r="H81" s="21">
        <f>'Solar Power Plant Data'!H80/MAX('Solar Power Plant Data'!E80,0.0001)
</f>
        <v>0</v>
      </c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</row>
    <row r="82">
      <c r="A82" s="21">
        <f>HOUR('Solar Power Plant Data'!A81)</f>
        <v>7</v>
      </c>
      <c r="B82" s="21">
        <f>DAY('Solar Power Plant Data'!A81)</f>
        <v>1</v>
      </c>
      <c r="C82" s="21">
        <f>MONTH('Solar Power Plant Data'!A81)</f>
        <v>4</v>
      </c>
      <c r="D82" s="21" t="str">
        <f>TEXT('Solar Power Plant Data'!A81,"ddd")</f>
        <v>Sat</v>
      </c>
      <c r="E82" s="21">
        <f t="shared" si="1"/>
        <v>1</v>
      </c>
      <c r="F82" s="19">
        <f t="array" ref="F82">IF(ROW()&lt;25,"",INDEX('Solar Power Plant Data'!H:H,ROW()-1))</f>
        <v>0</v>
      </c>
      <c r="G82" s="19">
        <f>IF(ROW()&lt;25,"",AVERAGE(OFFSET('Solar Power Plant Data'!H104,-23,0,24,1)))
</f>
        <v>53720.25</v>
      </c>
      <c r="H82" s="21">
        <f>'Solar Power Plant Data'!H81/MAX('Solar Power Plant Data'!E81,0.0001)
</f>
        <v>0</v>
      </c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</row>
    <row r="83">
      <c r="A83" s="21">
        <f>HOUR('Solar Power Plant Data'!A82)</f>
        <v>8</v>
      </c>
      <c r="B83" s="21">
        <f>DAY('Solar Power Plant Data'!A82)</f>
        <v>1</v>
      </c>
      <c r="C83" s="21">
        <f>MONTH('Solar Power Plant Data'!A82)</f>
        <v>4</v>
      </c>
      <c r="D83" s="21" t="str">
        <f>TEXT('Solar Power Plant Data'!A82,"ddd")</f>
        <v>Sat</v>
      </c>
      <c r="E83" s="21">
        <f t="shared" si="1"/>
        <v>1</v>
      </c>
      <c r="F83" s="19">
        <f t="array" ref="F83">IF(ROW()&lt;25,"",INDEX('Solar Power Plant Data'!H:H,ROW()-1))</f>
        <v>0</v>
      </c>
      <c r="G83" s="19">
        <f>IF(ROW()&lt;25,"",AVERAGE(OFFSET('Solar Power Plant Data'!H105,-23,0,24,1)))
</f>
        <v>53720.25</v>
      </c>
      <c r="H83" s="21">
        <f>'Solar Power Plant Data'!H82/MAX('Solar Power Plant Data'!E82,0.0001)
</f>
        <v>0</v>
      </c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</row>
    <row r="84">
      <c r="A84" s="21">
        <f>HOUR('Solar Power Plant Data'!A83)</f>
        <v>9</v>
      </c>
      <c r="B84" s="21">
        <f>DAY('Solar Power Plant Data'!A83)</f>
        <v>1</v>
      </c>
      <c r="C84" s="21">
        <f>MONTH('Solar Power Plant Data'!A83)</f>
        <v>4</v>
      </c>
      <c r="D84" s="21" t="str">
        <f>TEXT('Solar Power Plant Data'!A83,"ddd")</f>
        <v>Sat</v>
      </c>
      <c r="E84" s="21">
        <f t="shared" si="1"/>
        <v>1</v>
      </c>
      <c r="F84" s="19">
        <f t="array" ref="F84">IF(ROW()&lt;25,"",INDEX('Solar Power Plant Data'!H:H,ROW()-1))</f>
        <v>0</v>
      </c>
      <c r="G84" s="19">
        <f>IF(ROW()&lt;25,"",AVERAGE(OFFSET('Solar Power Plant Data'!H106,-23,0,24,1)))
</f>
        <v>53720.25</v>
      </c>
      <c r="H84" s="21">
        <f>'Solar Power Plant Data'!H83/MAX('Solar Power Plant Data'!E83,0.0001)
</f>
        <v>0</v>
      </c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</row>
    <row r="85">
      <c r="A85" s="21">
        <f>HOUR('Solar Power Plant Data'!A84)</f>
        <v>10</v>
      </c>
      <c r="B85" s="21">
        <f>DAY('Solar Power Plant Data'!A84)</f>
        <v>1</v>
      </c>
      <c r="C85" s="21">
        <f>MONTH('Solar Power Plant Data'!A84)</f>
        <v>4</v>
      </c>
      <c r="D85" s="21" t="str">
        <f>TEXT('Solar Power Plant Data'!A84,"ddd")</f>
        <v>Sat</v>
      </c>
      <c r="E85" s="21">
        <f t="shared" si="1"/>
        <v>1</v>
      </c>
      <c r="F85" s="19">
        <f t="array" ref="F85">IF(ROW()&lt;25,"",INDEX('Solar Power Plant Data'!H:H,ROW()-1))</f>
        <v>0</v>
      </c>
      <c r="G85" s="19">
        <f>IF(ROW()&lt;25,"",AVERAGE(OFFSET('Solar Power Plant Data'!H107,-23,0,24,1)))
</f>
        <v>53720.25</v>
      </c>
      <c r="H85" s="21">
        <f>'Solar Power Plant Data'!H84/MAX('Solar Power Plant Data'!E84,0.0001)
</f>
        <v>0</v>
      </c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</row>
    <row r="86">
      <c r="A86" s="21">
        <f>HOUR('Solar Power Plant Data'!A85)</f>
        <v>11</v>
      </c>
      <c r="B86" s="21">
        <f>DAY('Solar Power Plant Data'!A85)</f>
        <v>1</v>
      </c>
      <c r="C86" s="21">
        <f>MONTH('Solar Power Plant Data'!A85)</f>
        <v>4</v>
      </c>
      <c r="D86" s="21" t="str">
        <f>TEXT('Solar Power Plant Data'!A85,"ddd")</f>
        <v>Sat</v>
      </c>
      <c r="E86" s="21">
        <f t="shared" si="1"/>
        <v>1</v>
      </c>
      <c r="F86" s="19">
        <f t="array" ref="F86">IF(ROW()&lt;25,"",INDEX('Solar Power Plant Data'!H:H,ROW()-1))</f>
        <v>0</v>
      </c>
      <c r="G86" s="19">
        <f>IF(ROW()&lt;25,"",AVERAGE(OFFSET('Solar Power Plant Data'!H108,-23,0,24,1)))
</f>
        <v>53720.25</v>
      </c>
      <c r="H86" s="21">
        <f>'Solar Power Plant Data'!H85/MAX('Solar Power Plant Data'!E85,0.0001)
</f>
        <v>0</v>
      </c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</row>
    <row r="87">
      <c r="A87" s="21">
        <f>HOUR('Solar Power Plant Data'!A86)</f>
        <v>12</v>
      </c>
      <c r="B87" s="21">
        <f>DAY('Solar Power Plant Data'!A86)</f>
        <v>1</v>
      </c>
      <c r="C87" s="21">
        <f>MONTH('Solar Power Plant Data'!A86)</f>
        <v>4</v>
      </c>
      <c r="D87" s="21" t="str">
        <f>TEXT('Solar Power Plant Data'!A86,"ddd")</f>
        <v>Sat</v>
      </c>
      <c r="E87" s="21">
        <f t="shared" si="1"/>
        <v>1</v>
      </c>
      <c r="F87" s="19">
        <f t="array" ref="F87">IF(ROW()&lt;25,"",INDEX('Solar Power Plant Data'!H:H,ROW()-1))</f>
        <v>1289166</v>
      </c>
      <c r="G87" s="19">
        <f>IF(ROW()&lt;25,"",AVERAGE(OFFSET('Solar Power Plant Data'!H109,-23,0,24,1)))
</f>
        <v>53720.25</v>
      </c>
      <c r="H87" s="21">
        <f>'Solar Power Plant Data'!H86/MAX('Solar Power Plant Data'!E86,0.0001)
</f>
        <v>12891660000</v>
      </c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</row>
    <row r="88">
      <c r="A88" s="21">
        <f>HOUR('Solar Power Plant Data'!A87)</f>
        <v>13</v>
      </c>
      <c r="B88" s="21">
        <f>DAY('Solar Power Plant Data'!A87)</f>
        <v>1</v>
      </c>
      <c r="C88" s="21">
        <f>MONTH('Solar Power Plant Data'!A87)</f>
        <v>4</v>
      </c>
      <c r="D88" s="21" t="str">
        <f>TEXT('Solar Power Plant Data'!A87,"ddd")</f>
        <v>Sat</v>
      </c>
      <c r="E88" s="21">
        <f t="shared" si="1"/>
        <v>1</v>
      </c>
      <c r="F88" s="19">
        <f t="array" ref="F88">IF(ROW()&lt;25,"",INDEX('Solar Power Plant Data'!H:H,ROW()-1))</f>
        <v>102</v>
      </c>
      <c r="G88" s="19">
        <f>IF(ROW()&lt;25,"",AVERAGE(OFFSET('Solar Power Plant Data'!H110,-23,0,24,1)))
</f>
        <v>147157.7917</v>
      </c>
      <c r="H88" s="21">
        <f>'Solar Power Plant Data'!H87/MAX('Solar Power Plant Data'!E87,0.0001)
</f>
        <v>1020000</v>
      </c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</row>
    <row r="89">
      <c r="A89" s="21">
        <f>HOUR('Solar Power Plant Data'!A88)</f>
        <v>14</v>
      </c>
      <c r="B89" s="21">
        <f>DAY('Solar Power Plant Data'!A88)</f>
        <v>1</v>
      </c>
      <c r="C89" s="21">
        <f>MONTH('Solar Power Plant Data'!A88)</f>
        <v>4</v>
      </c>
      <c r="D89" s="21" t="str">
        <f>TEXT('Solar Power Plant Data'!A88,"ddd")</f>
        <v>Sat</v>
      </c>
      <c r="E89" s="21">
        <f t="shared" si="1"/>
        <v>1</v>
      </c>
      <c r="F89" s="19">
        <f t="array" ref="F89">IF(ROW()&lt;25,"",INDEX('Solar Power Plant Data'!H:H,ROW()-1))</f>
        <v>18</v>
      </c>
      <c r="G89" s="19">
        <f>IF(ROW()&lt;25,"",AVERAGE(OFFSET('Solar Power Plant Data'!H111,-23,0,24,1)))
</f>
        <v>147163.375</v>
      </c>
      <c r="H89" s="21">
        <f>'Solar Power Plant Data'!H88/MAX('Solar Power Plant Data'!E88,0.0001)
</f>
        <v>180000</v>
      </c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</row>
    <row r="90">
      <c r="A90" s="21">
        <f>HOUR('Solar Power Plant Data'!A89)</f>
        <v>15</v>
      </c>
      <c r="B90" s="21">
        <f>DAY('Solar Power Plant Data'!A89)</f>
        <v>1</v>
      </c>
      <c r="C90" s="21">
        <f>MONTH('Solar Power Plant Data'!A89)</f>
        <v>4</v>
      </c>
      <c r="D90" s="21" t="str">
        <f>TEXT('Solar Power Plant Data'!A89,"ddd")</f>
        <v>Sat</v>
      </c>
      <c r="E90" s="21">
        <f t="shared" si="1"/>
        <v>1</v>
      </c>
      <c r="F90" s="19">
        <f t="array" ref="F90">IF(ROW()&lt;25,"",INDEX('Solar Power Plant Data'!H:H,ROW()-1))</f>
        <v>0</v>
      </c>
      <c r="G90" s="19">
        <f>IF(ROW()&lt;25,"",AVERAGE(OFFSET('Solar Power Plant Data'!H112,-23,0,24,1)))
</f>
        <v>147162.625</v>
      </c>
      <c r="H90" s="21">
        <f>'Solar Power Plant Data'!H89/MAX('Solar Power Plant Data'!E89,0.0001)
</f>
        <v>0</v>
      </c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</row>
    <row r="91">
      <c r="A91" s="21">
        <f>HOUR('Solar Power Plant Data'!A90)</f>
        <v>16</v>
      </c>
      <c r="B91" s="21">
        <f>DAY('Solar Power Plant Data'!A90)</f>
        <v>1</v>
      </c>
      <c r="C91" s="21">
        <f>MONTH('Solar Power Plant Data'!A90)</f>
        <v>4</v>
      </c>
      <c r="D91" s="21" t="str">
        <f>TEXT('Solar Power Plant Data'!A90,"ddd")</f>
        <v>Sat</v>
      </c>
      <c r="E91" s="21">
        <f t="shared" si="1"/>
        <v>1</v>
      </c>
      <c r="F91" s="19">
        <f t="array" ref="F91">IF(ROW()&lt;25,"",INDEX('Solar Power Plant Data'!H:H,ROW()-1))</f>
        <v>0</v>
      </c>
      <c r="G91" s="19">
        <f>IF(ROW()&lt;25,"",AVERAGE(OFFSET('Solar Power Plant Data'!H113,-23,0,24,1)))
</f>
        <v>147162.625</v>
      </c>
      <c r="H91" s="21">
        <f>'Solar Power Plant Data'!H90/MAX('Solar Power Plant Data'!E90,0.0001)
</f>
        <v>0</v>
      </c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</row>
    <row r="92">
      <c r="A92" s="21">
        <f>HOUR('Solar Power Plant Data'!A91)</f>
        <v>17</v>
      </c>
      <c r="B92" s="21">
        <f>DAY('Solar Power Plant Data'!A91)</f>
        <v>1</v>
      </c>
      <c r="C92" s="21">
        <f>MONTH('Solar Power Plant Data'!A91)</f>
        <v>4</v>
      </c>
      <c r="D92" s="21" t="str">
        <f>TEXT('Solar Power Plant Data'!A91,"ddd")</f>
        <v>Sat</v>
      </c>
      <c r="E92" s="21">
        <f t="shared" si="1"/>
        <v>1</v>
      </c>
      <c r="F92" s="19">
        <f t="array" ref="F92">IF(ROW()&lt;25,"",INDEX('Solar Power Plant Data'!H:H,ROW()-1))</f>
        <v>0</v>
      </c>
      <c r="G92" s="19">
        <f>IF(ROW()&lt;25,"",AVERAGE(OFFSET('Solar Power Plant Data'!H114,-23,0,24,1)))
</f>
        <v>147162.625</v>
      </c>
      <c r="H92" s="21">
        <f>'Solar Power Plant Data'!H91/MAX('Solar Power Plant Data'!E91,0.0001)
</f>
        <v>0</v>
      </c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</row>
    <row r="93">
      <c r="A93" s="21">
        <f>HOUR('Solar Power Plant Data'!A92)</f>
        <v>18</v>
      </c>
      <c r="B93" s="21">
        <f>DAY('Solar Power Plant Data'!A92)</f>
        <v>1</v>
      </c>
      <c r="C93" s="21">
        <f>MONTH('Solar Power Plant Data'!A92)</f>
        <v>4</v>
      </c>
      <c r="D93" s="21" t="str">
        <f>TEXT('Solar Power Plant Data'!A92,"ddd")</f>
        <v>Sat</v>
      </c>
      <c r="E93" s="21">
        <f t="shared" si="1"/>
        <v>1</v>
      </c>
      <c r="F93" s="19">
        <f t="array" ref="F93">IF(ROW()&lt;25,"",INDEX('Solar Power Plant Data'!H:H,ROW()-1))</f>
        <v>0</v>
      </c>
      <c r="G93" s="19">
        <f>IF(ROW()&lt;25,"",AVERAGE(OFFSET('Solar Power Plant Data'!H115,-23,0,24,1)))
</f>
        <v>147162.625</v>
      </c>
      <c r="H93" s="21">
        <f>'Solar Power Plant Data'!H92/MAX('Solar Power Plant Data'!E92,0.0001)
</f>
        <v>0</v>
      </c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</row>
    <row r="94">
      <c r="A94" s="21">
        <f>HOUR('Solar Power Plant Data'!A93)</f>
        <v>19</v>
      </c>
      <c r="B94" s="21">
        <f>DAY('Solar Power Plant Data'!A93)</f>
        <v>1</v>
      </c>
      <c r="C94" s="21">
        <f>MONTH('Solar Power Plant Data'!A93)</f>
        <v>4</v>
      </c>
      <c r="D94" s="21" t="str">
        <f>TEXT('Solar Power Plant Data'!A93,"ddd")</f>
        <v>Sat</v>
      </c>
      <c r="E94" s="21">
        <f t="shared" si="1"/>
        <v>1</v>
      </c>
      <c r="F94" s="19">
        <f t="array" ref="F94">IF(ROW()&lt;25,"",INDEX('Solar Power Plant Data'!H:H,ROW()-1))</f>
        <v>0</v>
      </c>
      <c r="G94" s="19">
        <f>IF(ROW()&lt;25,"",AVERAGE(OFFSET('Solar Power Plant Data'!H116,-23,0,24,1)))
</f>
        <v>147162.625</v>
      </c>
      <c r="H94" s="21">
        <f>'Solar Power Plant Data'!H93/MAX('Solar Power Plant Data'!E93,0.0001)
</f>
        <v>0</v>
      </c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</row>
    <row r="95">
      <c r="A95" s="21">
        <f>HOUR('Solar Power Plant Data'!A94)</f>
        <v>20</v>
      </c>
      <c r="B95" s="21">
        <f>DAY('Solar Power Plant Data'!A94)</f>
        <v>1</v>
      </c>
      <c r="C95" s="21">
        <f>MONTH('Solar Power Plant Data'!A94)</f>
        <v>4</v>
      </c>
      <c r="D95" s="21" t="str">
        <f>TEXT('Solar Power Plant Data'!A94,"ddd")</f>
        <v>Sat</v>
      </c>
      <c r="E95" s="21">
        <f t="shared" si="1"/>
        <v>1</v>
      </c>
      <c r="F95" s="19">
        <f t="array" ref="F95">IF(ROW()&lt;25,"",INDEX('Solar Power Plant Data'!H:H,ROW()-1))</f>
        <v>0</v>
      </c>
      <c r="G95" s="19">
        <f>IF(ROW()&lt;25,"",AVERAGE(OFFSET('Solar Power Plant Data'!H117,-23,0,24,1)))
</f>
        <v>147162.625</v>
      </c>
      <c r="H95" s="21">
        <f>'Solar Power Plant Data'!H94/MAX('Solar Power Plant Data'!E94,0.0001)
</f>
        <v>0</v>
      </c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</row>
    <row r="96">
      <c r="A96" s="21">
        <f>HOUR('Solar Power Plant Data'!A95)</f>
        <v>21</v>
      </c>
      <c r="B96" s="21">
        <f>DAY('Solar Power Plant Data'!A95)</f>
        <v>1</v>
      </c>
      <c r="C96" s="21">
        <f>MONTH('Solar Power Plant Data'!A95)</f>
        <v>4</v>
      </c>
      <c r="D96" s="21" t="str">
        <f>TEXT('Solar Power Plant Data'!A95,"ddd")</f>
        <v>Sat</v>
      </c>
      <c r="E96" s="21">
        <f t="shared" si="1"/>
        <v>1</v>
      </c>
      <c r="F96" s="19">
        <f t="array" ref="F96">IF(ROW()&lt;25,"",INDEX('Solar Power Plant Data'!H:H,ROW()-1))</f>
        <v>0</v>
      </c>
      <c r="G96" s="19">
        <f>IF(ROW()&lt;25,"",AVERAGE(OFFSET('Solar Power Plant Data'!H118,-23,0,24,1)))
</f>
        <v>147162.625</v>
      </c>
      <c r="H96" s="21">
        <f>'Solar Power Plant Data'!H95/MAX('Solar Power Plant Data'!E95,0.0001)
</f>
        <v>0</v>
      </c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</row>
    <row r="97">
      <c r="A97" s="21">
        <f>HOUR('Solar Power Plant Data'!A96)</f>
        <v>22</v>
      </c>
      <c r="B97" s="21">
        <f>DAY('Solar Power Plant Data'!A96)</f>
        <v>1</v>
      </c>
      <c r="C97" s="21">
        <f>MONTH('Solar Power Plant Data'!A96)</f>
        <v>4</v>
      </c>
      <c r="D97" s="21" t="str">
        <f>TEXT('Solar Power Plant Data'!A96,"ddd")</f>
        <v>Sat</v>
      </c>
      <c r="E97" s="21">
        <f t="shared" si="1"/>
        <v>1</v>
      </c>
      <c r="F97" s="19">
        <f t="array" ref="F97">IF(ROW()&lt;25,"",INDEX('Solar Power Plant Data'!H:H,ROW()-1))</f>
        <v>0</v>
      </c>
      <c r="G97" s="19">
        <f>IF(ROW()&lt;25,"",AVERAGE(OFFSET('Solar Power Plant Data'!H119,-23,0,24,1)))
</f>
        <v>147162.625</v>
      </c>
      <c r="H97" s="21">
        <f>'Solar Power Plant Data'!H96/MAX('Solar Power Plant Data'!E96,0.0001)
</f>
        <v>0</v>
      </c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</row>
    <row r="98">
      <c r="A98" s="21">
        <f>HOUR('Solar Power Plant Data'!A97)</f>
        <v>23</v>
      </c>
      <c r="B98" s="21">
        <f>DAY('Solar Power Plant Data'!A97)</f>
        <v>1</v>
      </c>
      <c r="C98" s="21">
        <f>MONTH('Solar Power Plant Data'!A97)</f>
        <v>4</v>
      </c>
      <c r="D98" s="21" t="str">
        <f>TEXT('Solar Power Plant Data'!A97,"ddd")</f>
        <v>Sat</v>
      </c>
      <c r="E98" s="21">
        <f t="shared" si="1"/>
        <v>1</v>
      </c>
      <c r="F98" s="19">
        <f t="array" ref="F98">IF(ROW()&lt;25,"",INDEX('Solar Power Plant Data'!H:H,ROW()-1))</f>
        <v>0</v>
      </c>
      <c r="G98" s="19">
        <f>IF(ROW()&lt;25,"",AVERAGE(OFFSET('Solar Power Plant Data'!H120,-23,0,24,1)))
</f>
        <v>147162.625</v>
      </c>
      <c r="H98" s="21">
        <f>'Solar Power Plant Data'!H97/MAX('Solar Power Plant Data'!E97,0.0001)
</f>
        <v>0</v>
      </c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</row>
    <row r="99">
      <c r="A99" s="21">
        <f>HOUR('Solar Power Plant Data'!A98)</f>
        <v>0</v>
      </c>
      <c r="B99" s="21">
        <f>DAY('Solar Power Plant Data'!A98)</f>
        <v>1</v>
      </c>
      <c r="C99" s="21">
        <f>MONTH('Solar Power Plant Data'!A98)</f>
        <v>5</v>
      </c>
      <c r="D99" s="21" t="str">
        <f>TEXT('Solar Power Plant Data'!A98,"ddd")</f>
        <v>Mon</v>
      </c>
      <c r="E99" s="21">
        <f t="shared" si="1"/>
        <v>0</v>
      </c>
      <c r="F99" s="19">
        <f t="array" ref="F99">IF(ROW()&lt;25,"",INDEX('Solar Power Plant Data'!H:H,ROW()-1))</f>
        <v>0</v>
      </c>
      <c r="G99" s="19">
        <f>IF(ROW()&lt;25,"",AVERAGE(OFFSET('Solar Power Plant Data'!H121,-23,0,24,1)))
</f>
        <v>147162.625</v>
      </c>
      <c r="H99" s="21">
        <f>'Solar Power Plant Data'!H98/MAX('Solar Power Plant Data'!E98,0.0001)
</f>
        <v>0</v>
      </c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</row>
    <row r="100">
      <c r="A100" s="21">
        <f>HOUR('Solar Power Plant Data'!A99)</f>
        <v>1</v>
      </c>
      <c r="B100" s="21">
        <f>DAY('Solar Power Plant Data'!A99)</f>
        <v>1</v>
      </c>
      <c r="C100" s="21">
        <f>MONTH('Solar Power Plant Data'!A99)</f>
        <v>5</v>
      </c>
      <c r="D100" s="21" t="str">
        <f>TEXT('Solar Power Plant Data'!A99,"ddd")</f>
        <v>Mon</v>
      </c>
      <c r="E100" s="21">
        <f t="shared" si="1"/>
        <v>0</v>
      </c>
      <c r="F100" s="19">
        <f t="array" ref="F100">IF(ROW()&lt;25,"",INDEX('Solar Power Plant Data'!H:H,ROW()-1))</f>
        <v>0</v>
      </c>
      <c r="G100" s="19">
        <f>IF(ROW()&lt;25,"",AVERAGE(OFFSET('Solar Power Plant Data'!H122,-23,0,24,1)))
</f>
        <v>147162.625</v>
      </c>
      <c r="H100" s="21">
        <f>'Solar Power Plant Data'!H99/MAX('Solar Power Plant Data'!E99,0.0001)
</f>
        <v>0</v>
      </c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</row>
    <row r="101">
      <c r="A101" s="21">
        <f>HOUR('Solar Power Plant Data'!A100)</f>
        <v>2</v>
      </c>
      <c r="B101" s="21">
        <f>DAY('Solar Power Plant Data'!A100)</f>
        <v>1</v>
      </c>
      <c r="C101" s="21">
        <f>MONTH('Solar Power Plant Data'!A100)</f>
        <v>5</v>
      </c>
      <c r="D101" s="21" t="str">
        <f>TEXT('Solar Power Plant Data'!A100,"ddd")</f>
        <v>Mon</v>
      </c>
      <c r="E101" s="21">
        <f t="shared" si="1"/>
        <v>0</v>
      </c>
      <c r="F101" s="19">
        <f t="array" ref="F101">IF(ROW()&lt;25,"",INDEX('Solar Power Plant Data'!H:H,ROW()-1))</f>
        <v>0</v>
      </c>
      <c r="G101" s="19">
        <f>IF(ROW()&lt;25,"",AVERAGE(OFFSET('Solar Power Plant Data'!H123,-23,0,24,1)))
</f>
        <v>147162.625</v>
      </c>
      <c r="H101" s="21">
        <f>'Solar Power Plant Data'!H100/MAX('Solar Power Plant Data'!E100,0.0001)
</f>
        <v>0</v>
      </c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</row>
    <row r="102">
      <c r="A102" s="21">
        <f>HOUR('Solar Power Plant Data'!A101)</f>
        <v>3</v>
      </c>
      <c r="B102" s="21">
        <f>DAY('Solar Power Plant Data'!A101)</f>
        <v>1</v>
      </c>
      <c r="C102" s="21">
        <f>MONTH('Solar Power Plant Data'!A101)</f>
        <v>5</v>
      </c>
      <c r="D102" s="21" t="str">
        <f>TEXT('Solar Power Plant Data'!A101,"ddd")</f>
        <v>Mon</v>
      </c>
      <c r="E102" s="21">
        <f t="shared" si="1"/>
        <v>0</v>
      </c>
      <c r="F102" s="19">
        <f t="array" ref="F102">IF(ROW()&lt;25,"",INDEX('Solar Power Plant Data'!H:H,ROW()-1))</f>
        <v>0</v>
      </c>
      <c r="G102" s="19">
        <f>IF(ROW()&lt;25,"",AVERAGE(OFFSET('Solar Power Plant Data'!H124,-23,0,24,1)))
</f>
        <v>147162.625</v>
      </c>
      <c r="H102" s="21">
        <f>'Solar Power Plant Data'!H101/MAX('Solar Power Plant Data'!E101,0.0001)
</f>
        <v>0</v>
      </c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</row>
    <row r="103">
      <c r="A103" s="21">
        <f>HOUR('Solar Power Plant Data'!A102)</f>
        <v>4</v>
      </c>
      <c r="B103" s="21">
        <f>DAY('Solar Power Plant Data'!A102)</f>
        <v>1</v>
      </c>
      <c r="C103" s="21">
        <f>MONTH('Solar Power Plant Data'!A102)</f>
        <v>5</v>
      </c>
      <c r="D103" s="21" t="str">
        <f>TEXT('Solar Power Plant Data'!A102,"ddd")</f>
        <v>Mon</v>
      </c>
      <c r="E103" s="21">
        <f t="shared" si="1"/>
        <v>0</v>
      </c>
      <c r="F103" s="19">
        <f t="array" ref="F103">IF(ROW()&lt;25,"",INDEX('Solar Power Plant Data'!H:H,ROW()-1))</f>
        <v>0</v>
      </c>
      <c r="G103" s="19">
        <f>IF(ROW()&lt;25,"",AVERAGE(OFFSET('Solar Power Plant Data'!H125,-23,0,24,1)))
</f>
        <v>147162.625</v>
      </c>
      <c r="H103" s="21">
        <f>'Solar Power Plant Data'!H102/MAX('Solar Power Plant Data'!E102,0.0001)
</f>
        <v>0</v>
      </c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</row>
    <row r="104">
      <c r="A104" s="21">
        <f>HOUR('Solar Power Plant Data'!A103)</f>
        <v>5</v>
      </c>
      <c r="B104" s="21">
        <f>DAY('Solar Power Plant Data'!A103)</f>
        <v>1</v>
      </c>
      <c r="C104" s="21">
        <f>MONTH('Solar Power Plant Data'!A103)</f>
        <v>5</v>
      </c>
      <c r="D104" s="21" t="str">
        <f>TEXT('Solar Power Plant Data'!A103,"ddd")</f>
        <v>Mon</v>
      </c>
      <c r="E104" s="21">
        <f t="shared" si="1"/>
        <v>0</v>
      </c>
      <c r="F104" s="19">
        <f t="array" ref="F104">IF(ROW()&lt;25,"",INDEX('Solar Power Plant Data'!H:H,ROW()-1))</f>
        <v>0</v>
      </c>
      <c r="G104" s="19">
        <f>IF(ROW()&lt;25,"",AVERAGE(OFFSET('Solar Power Plant Data'!H126,-23,0,24,1)))
</f>
        <v>147162.625</v>
      </c>
      <c r="H104" s="21">
        <f>'Solar Power Plant Data'!H103/MAX('Solar Power Plant Data'!E103,0.0001)
</f>
        <v>0</v>
      </c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</row>
    <row r="105">
      <c r="A105" s="21">
        <f>HOUR('Solar Power Plant Data'!A104)</f>
        <v>6</v>
      </c>
      <c r="B105" s="21">
        <f>DAY('Solar Power Plant Data'!A104)</f>
        <v>1</v>
      </c>
      <c r="C105" s="21">
        <f>MONTH('Solar Power Plant Data'!A104)</f>
        <v>5</v>
      </c>
      <c r="D105" s="21" t="str">
        <f>TEXT('Solar Power Plant Data'!A104,"ddd")</f>
        <v>Mon</v>
      </c>
      <c r="E105" s="21">
        <f t="shared" si="1"/>
        <v>0</v>
      </c>
      <c r="F105" s="19">
        <f t="array" ref="F105">IF(ROW()&lt;25,"",INDEX('Solar Power Plant Data'!H:H,ROW()-1))</f>
        <v>0</v>
      </c>
      <c r="G105" s="19">
        <f>IF(ROW()&lt;25,"",AVERAGE(OFFSET('Solar Power Plant Data'!H127,-23,0,24,1)))
</f>
        <v>147162.625</v>
      </c>
      <c r="H105" s="21">
        <f>'Solar Power Plant Data'!H104/MAX('Solar Power Plant Data'!E104,0.0001)
</f>
        <v>0</v>
      </c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</row>
    <row r="106">
      <c r="A106" s="21">
        <f>HOUR('Solar Power Plant Data'!A105)</f>
        <v>7</v>
      </c>
      <c r="B106" s="21">
        <f>DAY('Solar Power Plant Data'!A105)</f>
        <v>1</v>
      </c>
      <c r="C106" s="21">
        <f>MONTH('Solar Power Plant Data'!A105)</f>
        <v>5</v>
      </c>
      <c r="D106" s="21" t="str">
        <f>TEXT('Solar Power Plant Data'!A105,"ddd")</f>
        <v>Mon</v>
      </c>
      <c r="E106" s="21">
        <f t="shared" si="1"/>
        <v>0</v>
      </c>
      <c r="F106" s="19">
        <f t="array" ref="F106">IF(ROW()&lt;25,"",INDEX('Solar Power Plant Data'!H:H,ROW()-1))</f>
        <v>0</v>
      </c>
      <c r="G106" s="19">
        <f>IF(ROW()&lt;25,"",AVERAGE(OFFSET('Solar Power Plant Data'!H128,-23,0,24,1)))
</f>
        <v>147162.625</v>
      </c>
      <c r="H106" s="21">
        <f>'Solar Power Plant Data'!H105/MAX('Solar Power Plant Data'!E105,0.0001)
</f>
        <v>0</v>
      </c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</row>
    <row r="107">
      <c r="A107" s="21">
        <f>HOUR('Solar Power Plant Data'!A106)</f>
        <v>8</v>
      </c>
      <c r="B107" s="21">
        <f>DAY('Solar Power Plant Data'!A106)</f>
        <v>1</v>
      </c>
      <c r="C107" s="21">
        <f>MONTH('Solar Power Plant Data'!A106)</f>
        <v>5</v>
      </c>
      <c r="D107" s="21" t="str">
        <f>TEXT('Solar Power Plant Data'!A106,"ddd")</f>
        <v>Mon</v>
      </c>
      <c r="E107" s="21">
        <f t="shared" si="1"/>
        <v>0</v>
      </c>
      <c r="F107" s="19">
        <f t="array" ref="F107">IF(ROW()&lt;25,"",INDEX('Solar Power Plant Data'!H:H,ROW()-1))</f>
        <v>0</v>
      </c>
      <c r="G107" s="19">
        <f>IF(ROW()&lt;25,"",AVERAGE(OFFSET('Solar Power Plant Data'!H129,-23,0,24,1)))
</f>
        <v>147162.625</v>
      </c>
      <c r="H107" s="21">
        <f>'Solar Power Plant Data'!H106/MAX('Solar Power Plant Data'!E106,0.0001)
</f>
        <v>0</v>
      </c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</row>
    <row r="108">
      <c r="A108" s="21">
        <f>HOUR('Solar Power Plant Data'!A107)</f>
        <v>9</v>
      </c>
      <c r="B108" s="21">
        <f>DAY('Solar Power Plant Data'!A107)</f>
        <v>1</v>
      </c>
      <c r="C108" s="21">
        <f>MONTH('Solar Power Plant Data'!A107)</f>
        <v>5</v>
      </c>
      <c r="D108" s="21" t="str">
        <f>TEXT('Solar Power Plant Data'!A107,"ddd")</f>
        <v>Mon</v>
      </c>
      <c r="E108" s="21">
        <f t="shared" si="1"/>
        <v>0</v>
      </c>
      <c r="F108" s="19">
        <f t="array" ref="F108">IF(ROW()&lt;25,"",INDEX('Solar Power Plant Data'!H:H,ROW()-1))</f>
        <v>0</v>
      </c>
      <c r="G108" s="19">
        <f>IF(ROW()&lt;25,"",AVERAGE(OFFSET('Solar Power Plant Data'!H130,-23,0,24,1)))
</f>
        <v>147162.625</v>
      </c>
      <c r="H108" s="21">
        <f>'Solar Power Plant Data'!H107/MAX('Solar Power Plant Data'!E107,0.0001)
</f>
        <v>0</v>
      </c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</row>
    <row r="109">
      <c r="A109" s="21">
        <f>HOUR('Solar Power Plant Data'!A108)</f>
        <v>10</v>
      </c>
      <c r="B109" s="21">
        <f>DAY('Solar Power Plant Data'!A108)</f>
        <v>1</v>
      </c>
      <c r="C109" s="21">
        <f>MONTH('Solar Power Plant Data'!A108)</f>
        <v>5</v>
      </c>
      <c r="D109" s="21" t="str">
        <f>TEXT('Solar Power Plant Data'!A108,"ddd")</f>
        <v>Mon</v>
      </c>
      <c r="E109" s="21">
        <f t="shared" si="1"/>
        <v>0</v>
      </c>
      <c r="F109" s="19">
        <f t="array" ref="F109">IF(ROW()&lt;25,"",INDEX('Solar Power Plant Data'!H:H,ROW()-1))</f>
        <v>0</v>
      </c>
      <c r="G109" s="19">
        <f>IF(ROW()&lt;25,"",AVERAGE(OFFSET('Solar Power Plant Data'!H131,-23,0,24,1)))
</f>
        <v>147162.625</v>
      </c>
      <c r="H109" s="21">
        <f>'Solar Power Plant Data'!H108/MAX('Solar Power Plant Data'!E108,0.0001)
</f>
        <v>0</v>
      </c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</row>
    <row r="110">
      <c r="A110" s="21">
        <f>HOUR('Solar Power Plant Data'!A109)</f>
        <v>11</v>
      </c>
      <c r="B110" s="21">
        <f>DAY('Solar Power Plant Data'!A109)</f>
        <v>1</v>
      </c>
      <c r="C110" s="21">
        <f>MONTH('Solar Power Plant Data'!A109)</f>
        <v>5</v>
      </c>
      <c r="D110" s="21" t="str">
        <f>TEXT('Solar Power Plant Data'!A109,"ddd")</f>
        <v>Mon</v>
      </c>
      <c r="E110" s="21">
        <f t="shared" si="1"/>
        <v>0</v>
      </c>
      <c r="F110" s="19">
        <f t="array" ref="F110">IF(ROW()&lt;25,"",INDEX('Solar Power Plant Data'!H:H,ROW()-1))</f>
        <v>0</v>
      </c>
      <c r="G110" s="19">
        <f>IF(ROW()&lt;25,"",AVERAGE(OFFSET('Solar Power Plant Data'!H132,-23,0,24,1)))
</f>
        <v>147162.625</v>
      </c>
      <c r="H110" s="21">
        <f>'Solar Power Plant Data'!H109/MAX('Solar Power Plant Data'!E109,0.0001)
</f>
        <v>0</v>
      </c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</row>
    <row r="111">
      <c r="A111" s="21">
        <f>HOUR('Solar Power Plant Data'!A110)</f>
        <v>12</v>
      </c>
      <c r="B111" s="21">
        <f>DAY('Solar Power Plant Data'!A110)</f>
        <v>1</v>
      </c>
      <c r="C111" s="21">
        <f>MONTH('Solar Power Plant Data'!A110)</f>
        <v>5</v>
      </c>
      <c r="D111" s="21" t="str">
        <f>TEXT('Solar Power Plant Data'!A110,"ddd")</f>
        <v>Mon</v>
      </c>
      <c r="E111" s="21">
        <f t="shared" si="1"/>
        <v>0</v>
      </c>
      <c r="F111" s="19">
        <f t="array" ref="F111">IF(ROW()&lt;25,"",INDEX('Solar Power Plant Data'!H:H,ROW()-1))</f>
        <v>3531667</v>
      </c>
      <c r="G111" s="19">
        <f>IF(ROW()&lt;25,"",AVERAGE(OFFSET('Solar Power Plant Data'!H133,-23,0,24,1)))
</f>
        <v>147162.625</v>
      </c>
      <c r="H111" s="21">
        <f>'Solar Power Plant Data'!H110/MAX('Solar Power Plant Data'!E110,0.0001)
</f>
        <v>35316670000</v>
      </c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</row>
    <row r="112">
      <c r="A112" s="21">
        <f>HOUR('Solar Power Plant Data'!A111)</f>
        <v>13</v>
      </c>
      <c r="B112" s="21">
        <f>DAY('Solar Power Plant Data'!A111)</f>
        <v>1</v>
      </c>
      <c r="C112" s="21">
        <f>MONTH('Solar Power Plant Data'!A111)</f>
        <v>5</v>
      </c>
      <c r="D112" s="21" t="str">
        <f>TEXT('Solar Power Plant Data'!A111,"ddd")</f>
        <v>Mon</v>
      </c>
      <c r="E112" s="21">
        <f t="shared" si="1"/>
        <v>0</v>
      </c>
      <c r="F112" s="19">
        <f t="array" ref="F112">IF(ROW()&lt;25,"",INDEX('Solar Power Plant Data'!H:H,ROW()-1))</f>
        <v>236</v>
      </c>
      <c r="G112" s="19">
        <f>IF(ROW()&lt;25,"",AVERAGE(OFFSET('Solar Power Plant Data'!H134,-23,0,24,1)))
</f>
        <v>9.833333333</v>
      </c>
      <c r="H112" s="21">
        <f>'Solar Power Plant Data'!H111/MAX('Solar Power Plant Data'!E111,0.0001)
</f>
        <v>2360000</v>
      </c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</row>
    <row r="113">
      <c r="A113" s="21">
        <f>HOUR('Solar Power Plant Data'!A112)</f>
        <v>14</v>
      </c>
      <c r="B113" s="21">
        <f>DAY('Solar Power Plant Data'!A112)</f>
        <v>1</v>
      </c>
      <c r="C113" s="21">
        <f>MONTH('Solar Power Plant Data'!A112)</f>
        <v>5</v>
      </c>
      <c r="D113" s="21" t="str">
        <f>TEXT('Solar Power Plant Data'!A112,"ddd")</f>
        <v>Mon</v>
      </c>
      <c r="E113" s="21">
        <f t="shared" si="1"/>
        <v>0</v>
      </c>
      <c r="F113" s="19">
        <f t="array" ref="F113">IF(ROW()&lt;25,"",INDEX('Solar Power Plant Data'!H:H,ROW()-1))</f>
        <v>0</v>
      </c>
      <c r="G113" s="19">
        <f>IF(ROW()&lt;25,"",AVERAGE(OFFSET('Solar Power Plant Data'!H135,-23,0,24,1)))
</f>
        <v>0</v>
      </c>
      <c r="H113" s="21">
        <f>'Solar Power Plant Data'!H112/MAX('Solar Power Plant Data'!E112,0.0001)
</f>
        <v>0</v>
      </c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</row>
    <row r="114">
      <c r="A114" s="21">
        <f>HOUR('Solar Power Plant Data'!A113)</f>
        <v>15</v>
      </c>
      <c r="B114" s="21">
        <f>DAY('Solar Power Plant Data'!A113)</f>
        <v>1</v>
      </c>
      <c r="C114" s="21">
        <f>MONTH('Solar Power Plant Data'!A113)</f>
        <v>5</v>
      </c>
      <c r="D114" s="21" t="str">
        <f>TEXT('Solar Power Plant Data'!A113,"ddd")</f>
        <v>Mon</v>
      </c>
      <c r="E114" s="21">
        <f t="shared" si="1"/>
        <v>0</v>
      </c>
      <c r="F114" s="19">
        <f t="array" ref="F114">IF(ROW()&lt;25,"",INDEX('Solar Power Plant Data'!H:H,ROW()-1))</f>
        <v>0</v>
      </c>
      <c r="G114" s="19">
        <f>IF(ROW()&lt;25,"",AVERAGE(OFFSET('Solar Power Plant Data'!H136,-23,0,24,1)))
</f>
        <v>0</v>
      </c>
      <c r="H114" s="21">
        <f>'Solar Power Plant Data'!H113/MAX('Solar Power Plant Data'!E113,0.0001)
</f>
        <v>0</v>
      </c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</row>
    <row r="115">
      <c r="A115" s="21">
        <f>HOUR('Solar Power Plant Data'!A114)</f>
        <v>16</v>
      </c>
      <c r="B115" s="21">
        <f>DAY('Solar Power Plant Data'!A114)</f>
        <v>1</v>
      </c>
      <c r="C115" s="21">
        <f>MONTH('Solar Power Plant Data'!A114)</f>
        <v>5</v>
      </c>
      <c r="D115" s="21" t="str">
        <f>TEXT('Solar Power Plant Data'!A114,"ddd")</f>
        <v>Mon</v>
      </c>
      <c r="E115" s="21">
        <f t="shared" si="1"/>
        <v>0</v>
      </c>
      <c r="F115" s="19">
        <f t="array" ref="F115">IF(ROW()&lt;25,"",INDEX('Solar Power Plant Data'!H:H,ROW()-1))</f>
        <v>0</v>
      </c>
      <c r="G115" s="19">
        <f>IF(ROW()&lt;25,"",AVERAGE(OFFSET('Solar Power Plant Data'!H137,-23,0,24,1)))
</f>
        <v>0</v>
      </c>
      <c r="H115" s="21">
        <f>'Solar Power Plant Data'!H114/MAX('Solar Power Plant Data'!E114,0.0001)
</f>
        <v>0</v>
      </c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</row>
    <row r="116">
      <c r="A116" s="21">
        <f>HOUR('Solar Power Plant Data'!A115)</f>
        <v>17</v>
      </c>
      <c r="B116" s="21">
        <f>DAY('Solar Power Plant Data'!A115)</f>
        <v>1</v>
      </c>
      <c r="C116" s="21">
        <f>MONTH('Solar Power Plant Data'!A115)</f>
        <v>5</v>
      </c>
      <c r="D116" s="21" t="str">
        <f>TEXT('Solar Power Plant Data'!A115,"ddd")</f>
        <v>Mon</v>
      </c>
      <c r="E116" s="21">
        <f t="shared" si="1"/>
        <v>0</v>
      </c>
      <c r="F116" s="19">
        <f t="array" ref="F116">IF(ROW()&lt;25,"",INDEX('Solar Power Plant Data'!H:H,ROW()-1))</f>
        <v>0</v>
      </c>
      <c r="G116" s="19">
        <f>IF(ROW()&lt;25,"",AVERAGE(OFFSET('Solar Power Plant Data'!H138,-23,0,24,1)))
</f>
        <v>0</v>
      </c>
      <c r="H116" s="21">
        <f>'Solar Power Plant Data'!H115/MAX('Solar Power Plant Data'!E115,0.0001)
</f>
        <v>0</v>
      </c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</row>
    <row r="117">
      <c r="A117" s="21">
        <f>HOUR('Solar Power Plant Data'!A116)</f>
        <v>18</v>
      </c>
      <c r="B117" s="21">
        <f>DAY('Solar Power Plant Data'!A116)</f>
        <v>1</v>
      </c>
      <c r="C117" s="21">
        <f>MONTH('Solar Power Plant Data'!A116)</f>
        <v>5</v>
      </c>
      <c r="D117" s="21" t="str">
        <f>TEXT('Solar Power Plant Data'!A116,"ddd")</f>
        <v>Mon</v>
      </c>
      <c r="E117" s="21">
        <f t="shared" si="1"/>
        <v>0</v>
      </c>
      <c r="F117" s="19">
        <f t="array" ref="F117">IF(ROW()&lt;25,"",INDEX('Solar Power Plant Data'!H:H,ROW()-1))</f>
        <v>0</v>
      </c>
      <c r="G117" s="19">
        <f>IF(ROW()&lt;25,"",AVERAGE(OFFSET('Solar Power Plant Data'!H139,-23,0,24,1)))
</f>
        <v>0</v>
      </c>
      <c r="H117" s="21">
        <f>'Solar Power Plant Data'!H116/MAX('Solar Power Plant Data'!E116,0.0001)
</f>
        <v>0</v>
      </c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</row>
    <row r="118">
      <c r="A118" s="21">
        <f>HOUR('Solar Power Plant Data'!A117)</f>
        <v>19</v>
      </c>
      <c r="B118" s="21">
        <f>DAY('Solar Power Plant Data'!A117)</f>
        <v>1</v>
      </c>
      <c r="C118" s="21">
        <f>MONTH('Solar Power Plant Data'!A117)</f>
        <v>5</v>
      </c>
      <c r="D118" s="21" t="str">
        <f>TEXT('Solar Power Plant Data'!A117,"ddd")</f>
        <v>Mon</v>
      </c>
      <c r="E118" s="21">
        <f t="shared" si="1"/>
        <v>0</v>
      </c>
      <c r="F118" s="19">
        <f t="array" ref="F118">IF(ROW()&lt;25,"",INDEX('Solar Power Plant Data'!H:H,ROW()-1))</f>
        <v>0</v>
      </c>
      <c r="G118" s="19">
        <f>IF(ROW()&lt;25,"",AVERAGE(OFFSET('Solar Power Plant Data'!H140,-23,0,24,1)))
</f>
        <v>0</v>
      </c>
      <c r="H118" s="21">
        <f>'Solar Power Plant Data'!H117/MAX('Solar Power Plant Data'!E117,0.0001)
</f>
        <v>0</v>
      </c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</row>
    <row r="119">
      <c r="A119" s="21">
        <f>HOUR('Solar Power Plant Data'!A118)</f>
        <v>20</v>
      </c>
      <c r="B119" s="21">
        <f>DAY('Solar Power Plant Data'!A118)</f>
        <v>1</v>
      </c>
      <c r="C119" s="21">
        <f>MONTH('Solar Power Plant Data'!A118)</f>
        <v>5</v>
      </c>
      <c r="D119" s="21" t="str">
        <f>TEXT('Solar Power Plant Data'!A118,"ddd")</f>
        <v>Mon</v>
      </c>
      <c r="E119" s="21">
        <f t="shared" si="1"/>
        <v>0</v>
      </c>
      <c r="F119" s="19">
        <f t="array" ref="F119">IF(ROW()&lt;25,"",INDEX('Solar Power Plant Data'!H:H,ROW()-1))</f>
        <v>0</v>
      </c>
      <c r="G119" s="19">
        <f>IF(ROW()&lt;25,"",AVERAGE(OFFSET('Solar Power Plant Data'!H141,-23,0,24,1)))
</f>
        <v>0</v>
      </c>
      <c r="H119" s="21">
        <f>'Solar Power Plant Data'!H118/MAX('Solar Power Plant Data'!E118,0.0001)
</f>
        <v>0</v>
      </c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</row>
    <row r="120">
      <c r="A120" s="21">
        <f>HOUR('Solar Power Plant Data'!A119)</f>
        <v>21</v>
      </c>
      <c r="B120" s="21">
        <f>DAY('Solar Power Plant Data'!A119)</f>
        <v>1</v>
      </c>
      <c r="C120" s="21">
        <f>MONTH('Solar Power Plant Data'!A119)</f>
        <v>5</v>
      </c>
      <c r="D120" s="21" t="str">
        <f>TEXT('Solar Power Plant Data'!A119,"ddd")</f>
        <v>Mon</v>
      </c>
      <c r="E120" s="21">
        <f t="shared" si="1"/>
        <v>0</v>
      </c>
      <c r="F120" s="19">
        <f t="array" ref="F120">IF(ROW()&lt;25,"",INDEX('Solar Power Plant Data'!H:H,ROW()-1))</f>
        <v>0</v>
      </c>
      <c r="G120" s="19">
        <f>IF(ROW()&lt;25,"",AVERAGE(OFFSET('Solar Power Plant Data'!H142,-23,0,24,1)))
</f>
        <v>0</v>
      </c>
      <c r="H120" s="21">
        <f>'Solar Power Plant Data'!H119/MAX('Solar Power Plant Data'!E119,0.0001)
</f>
        <v>0</v>
      </c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</row>
    <row r="121">
      <c r="A121" s="21">
        <f>HOUR('Solar Power Plant Data'!A120)</f>
        <v>22</v>
      </c>
      <c r="B121" s="21">
        <f>DAY('Solar Power Plant Data'!A120)</f>
        <v>1</v>
      </c>
      <c r="C121" s="21">
        <f>MONTH('Solar Power Plant Data'!A120)</f>
        <v>5</v>
      </c>
      <c r="D121" s="21" t="str">
        <f>TEXT('Solar Power Plant Data'!A120,"ddd")</f>
        <v>Mon</v>
      </c>
      <c r="E121" s="21">
        <f t="shared" si="1"/>
        <v>0</v>
      </c>
      <c r="F121" s="19">
        <f t="array" ref="F121">IF(ROW()&lt;25,"",INDEX('Solar Power Plant Data'!H:H,ROW()-1))</f>
        <v>0</v>
      </c>
      <c r="G121" s="19">
        <f>IF(ROW()&lt;25,"",AVERAGE(OFFSET('Solar Power Plant Data'!H143,-23,0,24,1)))
</f>
        <v>0</v>
      </c>
      <c r="H121" s="21">
        <f>'Solar Power Plant Data'!H120/MAX('Solar Power Plant Data'!E120,0.0001)
</f>
        <v>0</v>
      </c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</row>
    <row r="122">
      <c r="A122" s="21">
        <f>HOUR('Solar Power Plant Data'!A121)</f>
        <v>23</v>
      </c>
      <c r="B122" s="21">
        <f>DAY('Solar Power Plant Data'!A121)</f>
        <v>1</v>
      </c>
      <c r="C122" s="21">
        <f>MONTH('Solar Power Plant Data'!A121)</f>
        <v>5</v>
      </c>
      <c r="D122" s="21" t="str">
        <f>TEXT('Solar Power Plant Data'!A121,"ddd")</f>
        <v>Mon</v>
      </c>
      <c r="E122" s="21">
        <f t="shared" si="1"/>
        <v>0</v>
      </c>
      <c r="F122" s="19">
        <f t="array" ref="F122">IF(ROW()&lt;25,"",INDEX('Solar Power Plant Data'!H:H,ROW()-1))</f>
        <v>0</v>
      </c>
      <c r="G122" s="19">
        <f>IF(ROW()&lt;25,"",AVERAGE(OFFSET('Solar Power Plant Data'!H144,-23,0,24,1)))
</f>
        <v>0</v>
      </c>
      <c r="H122" s="21">
        <f>'Solar Power Plant Data'!H121/MAX('Solar Power Plant Data'!E121,0.0001)
</f>
        <v>0</v>
      </c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</row>
    <row r="123">
      <c r="A123" s="21">
        <f>HOUR('Solar Power Plant Data'!A122)</f>
        <v>0</v>
      </c>
      <c r="B123" s="21">
        <f>DAY('Solar Power Plant Data'!A122)</f>
        <v>1</v>
      </c>
      <c r="C123" s="21">
        <f>MONTH('Solar Power Plant Data'!A122)</f>
        <v>6</v>
      </c>
      <c r="D123" s="21" t="str">
        <f>TEXT('Solar Power Plant Data'!A122,"ddd")</f>
        <v>Thu</v>
      </c>
      <c r="E123" s="21">
        <f t="shared" si="1"/>
        <v>0</v>
      </c>
      <c r="F123" s="19">
        <f t="array" ref="F123">IF(ROW()&lt;25,"",INDEX('Solar Power Plant Data'!H:H,ROW()-1))</f>
        <v>0</v>
      </c>
      <c r="G123" s="19">
        <f>IF(ROW()&lt;25,"",AVERAGE(OFFSET('Solar Power Plant Data'!H145,-23,0,24,1)))
</f>
        <v>0</v>
      </c>
      <c r="H123" s="21">
        <f>'Solar Power Plant Data'!H122/MAX('Solar Power Plant Data'!E122,0.0001)
</f>
        <v>0</v>
      </c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</row>
    <row r="124">
      <c r="A124" s="21">
        <f>HOUR('Solar Power Plant Data'!A123)</f>
        <v>1</v>
      </c>
      <c r="B124" s="21">
        <f>DAY('Solar Power Plant Data'!A123)</f>
        <v>1</v>
      </c>
      <c r="C124" s="21">
        <f>MONTH('Solar Power Plant Data'!A123)</f>
        <v>6</v>
      </c>
      <c r="D124" s="21" t="str">
        <f>TEXT('Solar Power Plant Data'!A123,"ddd")</f>
        <v>Thu</v>
      </c>
      <c r="E124" s="21">
        <f t="shared" si="1"/>
        <v>0</v>
      </c>
      <c r="F124" s="19">
        <f t="array" ref="F124">IF(ROW()&lt;25,"",INDEX('Solar Power Plant Data'!H:H,ROW()-1))</f>
        <v>0</v>
      </c>
      <c r="G124" s="19">
        <f>IF(ROW()&lt;25,"",AVERAGE(OFFSET('Solar Power Plant Data'!H146,-23,0,24,1)))
</f>
        <v>0</v>
      </c>
      <c r="H124" s="21">
        <f>'Solar Power Plant Data'!H123/MAX('Solar Power Plant Data'!E123,0.0001)
</f>
        <v>0</v>
      </c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</row>
    <row r="125">
      <c r="A125" s="21">
        <f>HOUR('Solar Power Plant Data'!A124)</f>
        <v>2</v>
      </c>
      <c r="B125" s="21">
        <f>DAY('Solar Power Plant Data'!A124)</f>
        <v>1</v>
      </c>
      <c r="C125" s="21">
        <f>MONTH('Solar Power Plant Data'!A124)</f>
        <v>6</v>
      </c>
      <c r="D125" s="21" t="str">
        <f>TEXT('Solar Power Plant Data'!A124,"ddd")</f>
        <v>Thu</v>
      </c>
      <c r="E125" s="21">
        <f t="shared" si="1"/>
        <v>0</v>
      </c>
      <c r="F125" s="19">
        <f t="array" ref="F125">IF(ROW()&lt;25,"",INDEX('Solar Power Plant Data'!H:H,ROW()-1))</f>
        <v>0</v>
      </c>
      <c r="G125" s="19">
        <f>IF(ROW()&lt;25,"",AVERAGE(OFFSET('Solar Power Plant Data'!H147,-23,0,24,1)))
</f>
        <v>0</v>
      </c>
      <c r="H125" s="21">
        <f>'Solar Power Plant Data'!H124/MAX('Solar Power Plant Data'!E124,0.0001)
</f>
        <v>0</v>
      </c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</row>
    <row r="126">
      <c r="A126" s="21">
        <f>HOUR('Solar Power Plant Data'!A125)</f>
        <v>3</v>
      </c>
      <c r="B126" s="21">
        <f>DAY('Solar Power Plant Data'!A125)</f>
        <v>1</v>
      </c>
      <c r="C126" s="21">
        <f>MONTH('Solar Power Plant Data'!A125)</f>
        <v>6</v>
      </c>
      <c r="D126" s="21" t="str">
        <f>TEXT('Solar Power Plant Data'!A125,"ddd")</f>
        <v>Thu</v>
      </c>
      <c r="E126" s="21">
        <f t="shared" si="1"/>
        <v>0</v>
      </c>
      <c r="F126" s="19">
        <f t="array" ref="F126">IF(ROW()&lt;25,"",INDEX('Solar Power Plant Data'!H:H,ROW()-1))</f>
        <v>0</v>
      </c>
      <c r="G126" s="19">
        <f>IF(ROW()&lt;25,"",AVERAGE(OFFSET('Solar Power Plant Data'!H148,-23,0,24,1)))
</f>
        <v>0</v>
      </c>
      <c r="H126" s="21">
        <f>'Solar Power Plant Data'!H125/MAX('Solar Power Plant Data'!E125,0.0001)
</f>
        <v>0</v>
      </c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</row>
    <row r="127">
      <c r="A127" s="21">
        <f>HOUR('Solar Power Plant Data'!A126)</f>
        <v>4</v>
      </c>
      <c r="B127" s="21">
        <f>DAY('Solar Power Plant Data'!A126)</f>
        <v>1</v>
      </c>
      <c r="C127" s="21">
        <f>MONTH('Solar Power Plant Data'!A126)</f>
        <v>6</v>
      </c>
      <c r="D127" s="21" t="str">
        <f>TEXT('Solar Power Plant Data'!A126,"ddd")</f>
        <v>Thu</v>
      </c>
      <c r="E127" s="21">
        <f t="shared" si="1"/>
        <v>0</v>
      </c>
      <c r="F127" s="19">
        <f t="array" ref="F127">IF(ROW()&lt;25,"",INDEX('Solar Power Plant Data'!H:H,ROW()-1))</f>
        <v>0</v>
      </c>
      <c r="G127" s="19">
        <f>IF(ROW()&lt;25,"",AVERAGE(OFFSET('Solar Power Plant Data'!H149,-23,0,24,1)))
</f>
        <v>0</v>
      </c>
      <c r="H127" s="21">
        <f>'Solar Power Plant Data'!H126/MAX('Solar Power Plant Data'!E126,0.0001)
</f>
        <v>0</v>
      </c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</row>
    <row r="128">
      <c r="A128" s="21">
        <f>HOUR('Solar Power Plant Data'!A127)</f>
        <v>5</v>
      </c>
      <c r="B128" s="21">
        <f>DAY('Solar Power Plant Data'!A127)</f>
        <v>1</v>
      </c>
      <c r="C128" s="21">
        <f>MONTH('Solar Power Plant Data'!A127)</f>
        <v>6</v>
      </c>
      <c r="D128" s="21" t="str">
        <f>TEXT('Solar Power Plant Data'!A127,"ddd")</f>
        <v>Thu</v>
      </c>
      <c r="E128" s="21">
        <f t="shared" si="1"/>
        <v>0</v>
      </c>
      <c r="F128" s="19">
        <f t="array" ref="F128">IF(ROW()&lt;25,"",INDEX('Solar Power Plant Data'!H:H,ROW()-1))</f>
        <v>0</v>
      </c>
      <c r="G128" s="19">
        <f>IF(ROW()&lt;25,"",AVERAGE(OFFSET('Solar Power Plant Data'!H150,-23,0,24,1)))
</f>
        <v>0</v>
      </c>
      <c r="H128" s="21">
        <f>'Solar Power Plant Data'!H127/MAX('Solar Power Plant Data'!E127,0.0001)
</f>
        <v>0</v>
      </c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</row>
    <row r="129">
      <c r="A129" s="21">
        <f>HOUR('Solar Power Plant Data'!A128)</f>
        <v>6</v>
      </c>
      <c r="B129" s="21">
        <f>DAY('Solar Power Plant Data'!A128)</f>
        <v>1</v>
      </c>
      <c r="C129" s="21">
        <f>MONTH('Solar Power Plant Data'!A128)</f>
        <v>6</v>
      </c>
      <c r="D129" s="21" t="str">
        <f>TEXT('Solar Power Plant Data'!A128,"ddd")</f>
        <v>Thu</v>
      </c>
      <c r="E129" s="21">
        <f t="shared" si="1"/>
        <v>0</v>
      </c>
      <c r="F129" s="19">
        <f t="array" ref="F129">IF(ROW()&lt;25,"",INDEX('Solar Power Plant Data'!H:H,ROW()-1))</f>
        <v>0</v>
      </c>
      <c r="G129" s="19">
        <f>IF(ROW()&lt;25,"",AVERAGE(OFFSET('Solar Power Plant Data'!H151,-23,0,24,1)))
</f>
        <v>0</v>
      </c>
      <c r="H129" s="21">
        <f>'Solar Power Plant Data'!H128/MAX('Solar Power Plant Data'!E128,0.0001)
</f>
        <v>0</v>
      </c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</row>
    <row r="130">
      <c r="A130" s="21">
        <f>HOUR('Solar Power Plant Data'!A129)</f>
        <v>7</v>
      </c>
      <c r="B130" s="21">
        <f>DAY('Solar Power Plant Data'!A129)</f>
        <v>1</v>
      </c>
      <c r="C130" s="21">
        <f>MONTH('Solar Power Plant Data'!A129)</f>
        <v>6</v>
      </c>
      <c r="D130" s="21" t="str">
        <f>TEXT('Solar Power Plant Data'!A129,"ddd")</f>
        <v>Thu</v>
      </c>
      <c r="E130" s="21">
        <f t="shared" si="1"/>
        <v>0</v>
      </c>
      <c r="F130" s="19">
        <f t="array" ref="F130">IF(ROW()&lt;25,"",INDEX('Solar Power Plant Data'!H:H,ROW()-1))</f>
        <v>0</v>
      </c>
      <c r="G130" s="19">
        <f>IF(ROW()&lt;25,"",AVERAGE(OFFSET('Solar Power Plant Data'!H152,-23,0,24,1)))
</f>
        <v>0</v>
      </c>
      <c r="H130" s="21">
        <f>'Solar Power Plant Data'!H129/MAX('Solar Power Plant Data'!E129,0.0001)
</f>
        <v>0</v>
      </c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</row>
    <row r="131">
      <c r="A131" s="21">
        <f>HOUR('Solar Power Plant Data'!A130)</f>
        <v>8</v>
      </c>
      <c r="B131" s="21">
        <f>DAY('Solar Power Plant Data'!A130)</f>
        <v>1</v>
      </c>
      <c r="C131" s="21">
        <f>MONTH('Solar Power Plant Data'!A130)</f>
        <v>6</v>
      </c>
      <c r="D131" s="21" t="str">
        <f>TEXT('Solar Power Plant Data'!A130,"ddd")</f>
        <v>Thu</v>
      </c>
      <c r="E131" s="21">
        <f t="shared" si="1"/>
        <v>0</v>
      </c>
      <c r="F131" s="19">
        <f t="array" ref="F131">IF(ROW()&lt;25,"",INDEX('Solar Power Plant Data'!H:H,ROW()-1))</f>
        <v>0</v>
      </c>
      <c r="G131" s="19">
        <f>IF(ROW()&lt;25,"",AVERAGE(OFFSET('Solar Power Plant Data'!H153,-23,0,24,1)))
</f>
        <v>0</v>
      </c>
      <c r="H131" s="21">
        <f>'Solar Power Plant Data'!H130/MAX('Solar Power Plant Data'!E130,0.0001)
</f>
        <v>0</v>
      </c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</row>
    <row r="132">
      <c r="A132" s="21">
        <f>HOUR('Solar Power Plant Data'!A131)</f>
        <v>9</v>
      </c>
      <c r="B132" s="21">
        <f>DAY('Solar Power Plant Data'!A131)</f>
        <v>1</v>
      </c>
      <c r="C132" s="21">
        <f>MONTH('Solar Power Plant Data'!A131)</f>
        <v>6</v>
      </c>
      <c r="D132" s="21" t="str">
        <f>TEXT('Solar Power Plant Data'!A131,"ddd")</f>
        <v>Thu</v>
      </c>
      <c r="E132" s="21">
        <f t="shared" si="1"/>
        <v>0</v>
      </c>
      <c r="F132" s="19">
        <f t="array" ref="F132">IF(ROW()&lt;25,"",INDEX('Solar Power Plant Data'!H:H,ROW()-1))</f>
        <v>0</v>
      </c>
      <c r="G132" s="19">
        <f>IF(ROW()&lt;25,"",AVERAGE(OFFSET('Solar Power Plant Data'!H154,-23,0,24,1)))
</f>
        <v>0</v>
      </c>
      <c r="H132" s="21">
        <f>'Solar Power Plant Data'!H131/MAX('Solar Power Plant Data'!E131,0.0001)
</f>
        <v>0</v>
      </c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</row>
    <row r="133">
      <c r="A133" s="21">
        <f>HOUR('Solar Power Plant Data'!A132)</f>
        <v>10</v>
      </c>
      <c r="B133" s="21">
        <f>DAY('Solar Power Plant Data'!A132)</f>
        <v>1</v>
      </c>
      <c r="C133" s="21">
        <f>MONTH('Solar Power Plant Data'!A132)</f>
        <v>6</v>
      </c>
      <c r="D133" s="21" t="str">
        <f>TEXT('Solar Power Plant Data'!A132,"ddd")</f>
        <v>Thu</v>
      </c>
      <c r="E133" s="21">
        <f t="shared" si="1"/>
        <v>0</v>
      </c>
      <c r="F133" s="19">
        <f t="array" ref="F133">IF(ROW()&lt;25,"",INDEX('Solar Power Plant Data'!H:H,ROW()-1))</f>
        <v>0</v>
      </c>
      <c r="G133" s="19">
        <f>IF(ROW()&lt;25,"",AVERAGE(OFFSET('Solar Power Plant Data'!H155,-23,0,24,1)))
</f>
        <v>0</v>
      </c>
      <c r="H133" s="21">
        <f>'Solar Power Plant Data'!H132/MAX('Solar Power Plant Data'!E132,0.0001)
</f>
        <v>0</v>
      </c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</row>
    <row r="134">
      <c r="A134" s="21">
        <f>HOUR('Solar Power Plant Data'!A133)</f>
        <v>11</v>
      </c>
      <c r="B134" s="21">
        <f>DAY('Solar Power Plant Data'!A133)</f>
        <v>1</v>
      </c>
      <c r="C134" s="21">
        <f>MONTH('Solar Power Plant Data'!A133)</f>
        <v>6</v>
      </c>
      <c r="D134" s="21" t="str">
        <f>TEXT('Solar Power Plant Data'!A133,"ddd")</f>
        <v>Thu</v>
      </c>
      <c r="E134" s="21">
        <f t="shared" si="1"/>
        <v>0</v>
      </c>
      <c r="F134" s="19">
        <f t="array" ref="F134">IF(ROW()&lt;25,"",INDEX('Solar Power Plant Data'!H:H,ROW()-1))</f>
        <v>0</v>
      </c>
      <c r="G134" s="19">
        <f>IF(ROW()&lt;25,"",AVERAGE(OFFSET('Solar Power Plant Data'!H156,-23,0,24,1)))
</f>
        <v>0</v>
      </c>
      <c r="H134" s="21">
        <f>'Solar Power Plant Data'!H133/MAX('Solar Power Plant Data'!E133,0.0001)
</f>
        <v>0</v>
      </c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</row>
    <row r="135">
      <c r="A135" s="21">
        <f>HOUR('Solar Power Plant Data'!A134)</f>
        <v>12</v>
      </c>
      <c r="B135" s="21">
        <f>DAY('Solar Power Plant Data'!A134)</f>
        <v>1</v>
      </c>
      <c r="C135" s="21">
        <f>MONTH('Solar Power Plant Data'!A134)</f>
        <v>6</v>
      </c>
      <c r="D135" s="21" t="str">
        <f>TEXT('Solar Power Plant Data'!A134,"ddd")</f>
        <v>Thu</v>
      </c>
      <c r="E135" s="21">
        <f t="shared" si="1"/>
        <v>0</v>
      </c>
      <c r="F135" s="19">
        <f t="array" ref="F135">IF(ROW()&lt;25,"",INDEX('Solar Power Plant Data'!H:H,ROW()-1))</f>
        <v>0</v>
      </c>
      <c r="G135" s="19">
        <f>IF(ROW()&lt;25,"",AVERAGE(OFFSET('Solar Power Plant Data'!H157,-23,0,24,1)))
</f>
        <v>9.083333333</v>
      </c>
      <c r="H135" s="21">
        <f>'Solar Power Plant Data'!H134/MAX('Solar Power Plant Data'!E134,0.0001)
</f>
        <v>0</v>
      </c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</row>
    <row r="136">
      <c r="A136" s="21">
        <f>HOUR('Solar Power Plant Data'!A135)</f>
        <v>13</v>
      </c>
      <c r="B136" s="21">
        <f>DAY('Solar Power Plant Data'!A135)</f>
        <v>1</v>
      </c>
      <c r="C136" s="21">
        <f>MONTH('Solar Power Plant Data'!A135)</f>
        <v>6</v>
      </c>
      <c r="D136" s="21" t="str">
        <f>TEXT('Solar Power Plant Data'!A135,"ddd")</f>
        <v>Thu</v>
      </c>
      <c r="E136" s="21">
        <f t="shared" si="1"/>
        <v>0</v>
      </c>
      <c r="F136" s="19">
        <f t="array" ref="F136">IF(ROW()&lt;25,"",INDEX('Solar Power Plant Data'!H:H,ROW()-1))</f>
        <v>0</v>
      </c>
      <c r="G136" s="19">
        <f>IF(ROW()&lt;25,"",AVERAGE(OFFSET('Solar Power Plant Data'!H158,-23,0,24,1)))
</f>
        <v>345911.875</v>
      </c>
      <c r="H136" s="21">
        <f>'Solar Power Plant Data'!H135/MAX('Solar Power Plant Data'!E135,0.0001)
</f>
        <v>0</v>
      </c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</row>
    <row r="137">
      <c r="A137" s="21">
        <f>HOUR('Solar Power Plant Data'!A136)</f>
        <v>14</v>
      </c>
      <c r="B137" s="21">
        <f>DAY('Solar Power Plant Data'!A136)</f>
        <v>1</v>
      </c>
      <c r="C137" s="21">
        <f>MONTH('Solar Power Plant Data'!A136)</f>
        <v>6</v>
      </c>
      <c r="D137" s="21" t="str">
        <f>TEXT('Solar Power Plant Data'!A136,"ddd")</f>
        <v>Thu</v>
      </c>
      <c r="E137" s="21">
        <f t="shared" si="1"/>
        <v>0</v>
      </c>
      <c r="F137" s="19">
        <f t="array" ref="F137">IF(ROW()&lt;25,"",INDEX('Solar Power Plant Data'!H:H,ROW()-1))</f>
        <v>0</v>
      </c>
      <c r="G137" s="19">
        <f>IF(ROW()&lt;25,"",AVERAGE(OFFSET('Solar Power Plant Data'!H159,-23,0,24,1)))
</f>
        <v>802231.2917</v>
      </c>
      <c r="H137" s="21">
        <f>'Solar Power Plant Data'!H136/MAX('Solar Power Plant Data'!E136,0.0001)
</f>
        <v>0</v>
      </c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</row>
    <row r="138">
      <c r="A138" s="21">
        <f>HOUR('Solar Power Plant Data'!A137)</f>
        <v>15</v>
      </c>
      <c r="B138" s="21">
        <f>DAY('Solar Power Plant Data'!A137)</f>
        <v>1</v>
      </c>
      <c r="C138" s="21">
        <f>MONTH('Solar Power Plant Data'!A137)</f>
        <v>6</v>
      </c>
      <c r="D138" s="21" t="str">
        <f>TEXT('Solar Power Plant Data'!A137,"ddd")</f>
        <v>Thu</v>
      </c>
      <c r="E138" s="21">
        <f t="shared" si="1"/>
        <v>0</v>
      </c>
      <c r="F138" s="19">
        <f t="array" ref="F138">IF(ROW()&lt;25,"",INDEX('Solar Power Plant Data'!H:H,ROW()-1))</f>
        <v>0</v>
      </c>
      <c r="G138" s="19">
        <f>IF(ROW()&lt;25,"",AVERAGE(OFFSET('Solar Power Plant Data'!H160,-23,0,24,1)))
</f>
        <v>802250.9583</v>
      </c>
      <c r="H138" s="21">
        <f>'Solar Power Plant Data'!H137/MAX('Solar Power Plant Data'!E137,0.0001)
</f>
        <v>0</v>
      </c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</row>
    <row r="139">
      <c r="A139" s="21">
        <f>HOUR('Solar Power Plant Data'!A138)</f>
        <v>16</v>
      </c>
      <c r="B139" s="21">
        <f>DAY('Solar Power Plant Data'!A138)</f>
        <v>1</v>
      </c>
      <c r="C139" s="21">
        <f>MONTH('Solar Power Plant Data'!A138)</f>
        <v>6</v>
      </c>
      <c r="D139" s="21" t="str">
        <f>TEXT('Solar Power Plant Data'!A138,"ddd")</f>
        <v>Thu</v>
      </c>
      <c r="E139" s="21">
        <f t="shared" si="1"/>
        <v>0</v>
      </c>
      <c r="F139" s="19">
        <f t="array" ref="F139">IF(ROW()&lt;25,"",INDEX('Solar Power Plant Data'!H:H,ROW()-1))</f>
        <v>0</v>
      </c>
      <c r="G139" s="19">
        <f>IF(ROW()&lt;25,"",AVERAGE(OFFSET('Solar Power Plant Data'!H161,-23,0,24,1)))
</f>
        <v>876973.1667</v>
      </c>
      <c r="H139" s="21">
        <f>'Solar Power Plant Data'!H138/MAX('Solar Power Plant Data'!E138,0.0001)
</f>
        <v>0</v>
      </c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</row>
    <row r="140">
      <c r="A140" s="21">
        <f>HOUR('Solar Power Plant Data'!A139)</f>
        <v>17</v>
      </c>
      <c r="B140" s="21">
        <f>DAY('Solar Power Plant Data'!A139)</f>
        <v>1</v>
      </c>
      <c r="C140" s="21">
        <f>MONTH('Solar Power Plant Data'!A139)</f>
        <v>6</v>
      </c>
      <c r="D140" s="21" t="str">
        <f>TEXT('Solar Power Plant Data'!A139,"ddd")</f>
        <v>Thu</v>
      </c>
      <c r="E140" s="21">
        <f t="shared" si="1"/>
        <v>0</v>
      </c>
      <c r="F140" s="19">
        <f t="array" ref="F140">IF(ROW()&lt;25,"",INDEX('Solar Power Plant Data'!H:H,ROW()-1))</f>
        <v>0</v>
      </c>
      <c r="G140" s="19">
        <f>IF(ROW()&lt;25,"",AVERAGE(OFFSET('Solar Power Plant Data'!H162,-23,0,24,1)))
</f>
        <v>876973.1667</v>
      </c>
      <c r="H140" s="21">
        <f>'Solar Power Plant Data'!H139/MAX('Solar Power Plant Data'!E139,0.0001)
</f>
        <v>0</v>
      </c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</row>
    <row r="141">
      <c r="A141" s="21">
        <f>HOUR('Solar Power Plant Data'!A140)</f>
        <v>18</v>
      </c>
      <c r="B141" s="21">
        <f>DAY('Solar Power Plant Data'!A140)</f>
        <v>1</v>
      </c>
      <c r="C141" s="21">
        <f>MONTH('Solar Power Plant Data'!A140)</f>
        <v>6</v>
      </c>
      <c r="D141" s="21" t="str">
        <f>TEXT('Solar Power Plant Data'!A140,"ddd")</f>
        <v>Thu</v>
      </c>
      <c r="E141" s="21">
        <f t="shared" si="1"/>
        <v>0</v>
      </c>
      <c r="F141" s="19">
        <f t="array" ref="F141">IF(ROW()&lt;25,"",INDEX('Solar Power Plant Data'!H:H,ROW()-1))</f>
        <v>0</v>
      </c>
      <c r="G141" s="19">
        <f>IF(ROW()&lt;25,"",AVERAGE(OFFSET('Solar Power Plant Data'!H163,-23,0,24,1)))
</f>
        <v>876973.1667</v>
      </c>
      <c r="H141" s="21">
        <f>'Solar Power Plant Data'!H140/MAX('Solar Power Plant Data'!E140,0.0001)
</f>
        <v>0</v>
      </c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</row>
    <row r="142">
      <c r="A142" s="21">
        <f>HOUR('Solar Power Plant Data'!A141)</f>
        <v>19</v>
      </c>
      <c r="B142" s="21">
        <f>DAY('Solar Power Plant Data'!A141)</f>
        <v>1</v>
      </c>
      <c r="C142" s="21">
        <f>MONTH('Solar Power Plant Data'!A141)</f>
        <v>6</v>
      </c>
      <c r="D142" s="21" t="str">
        <f>TEXT('Solar Power Plant Data'!A141,"ddd")</f>
        <v>Thu</v>
      </c>
      <c r="E142" s="21">
        <f t="shared" si="1"/>
        <v>0</v>
      </c>
      <c r="F142" s="19">
        <f t="array" ref="F142">IF(ROW()&lt;25,"",INDEX('Solar Power Plant Data'!H:H,ROW()-1))</f>
        <v>0</v>
      </c>
      <c r="G142" s="19">
        <f>IF(ROW()&lt;25,"",AVERAGE(OFFSET('Solar Power Plant Data'!H164,-23,0,24,1)))
</f>
        <v>876973.1667</v>
      </c>
      <c r="H142" s="21">
        <f>'Solar Power Plant Data'!H141/MAX('Solar Power Plant Data'!E141,0.0001)
</f>
        <v>0</v>
      </c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</row>
    <row r="143">
      <c r="A143" s="21">
        <f>HOUR('Solar Power Plant Data'!A142)</f>
        <v>20</v>
      </c>
      <c r="B143" s="21">
        <f>DAY('Solar Power Plant Data'!A142)</f>
        <v>1</v>
      </c>
      <c r="C143" s="21">
        <f>MONTH('Solar Power Plant Data'!A142)</f>
        <v>6</v>
      </c>
      <c r="D143" s="21" t="str">
        <f>TEXT('Solar Power Plant Data'!A142,"ddd")</f>
        <v>Thu</v>
      </c>
      <c r="E143" s="21">
        <f t="shared" si="1"/>
        <v>0</v>
      </c>
      <c r="F143" s="19">
        <f t="array" ref="F143">IF(ROW()&lt;25,"",INDEX('Solar Power Plant Data'!H:H,ROW()-1))</f>
        <v>0</v>
      </c>
      <c r="G143" s="19">
        <f>IF(ROW()&lt;25,"",AVERAGE(OFFSET('Solar Power Plant Data'!H165,-23,0,24,1)))
</f>
        <v>876973.1667</v>
      </c>
      <c r="H143" s="21">
        <f>'Solar Power Plant Data'!H142/MAX('Solar Power Plant Data'!E142,0.0001)
</f>
        <v>0</v>
      </c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</row>
    <row r="144">
      <c r="A144" s="21">
        <f>HOUR('Solar Power Plant Data'!A143)</f>
        <v>21</v>
      </c>
      <c r="B144" s="21">
        <f>DAY('Solar Power Plant Data'!A143)</f>
        <v>1</v>
      </c>
      <c r="C144" s="21">
        <f>MONTH('Solar Power Plant Data'!A143)</f>
        <v>6</v>
      </c>
      <c r="D144" s="21" t="str">
        <f>TEXT('Solar Power Plant Data'!A143,"ddd")</f>
        <v>Thu</v>
      </c>
      <c r="E144" s="21">
        <f t="shared" si="1"/>
        <v>0</v>
      </c>
      <c r="F144" s="19">
        <f t="array" ref="F144">IF(ROW()&lt;25,"",INDEX('Solar Power Plant Data'!H:H,ROW()-1))</f>
        <v>0</v>
      </c>
      <c r="G144" s="19">
        <f>IF(ROW()&lt;25,"",AVERAGE(OFFSET('Solar Power Plant Data'!H166,-23,0,24,1)))
</f>
        <v>876973.1667</v>
      </c>
      <c r="H144" s="21">
        <f>'Solar Power Plant Data'!H143/MAX('Solar Power Plant Data'!E143,0.0001)
</f>
        <v>0</v>
      </c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</row>
    <row r="145">
      <c r="A145" s="21">
        <f>HOUR('Solar Power Plant Data'!A144)</f>
        <v>22</v>
      </c>
      <c r="B145" s="21">
        <f>DAY('Solar Power Plant Data'!A144)</f>
        <v>1</v>
      </c>
      <c r="C145" s="21">
        <f>MONTH('Solar Power Plant Data'!A144)</f>
        <v>6</v>
      </c>
      <c r="D145" s="21" t="str">
        <f>TEXT('Solar Power Plant Data'!A144,"ddd")</f>
        <v>Thu</v>
      </c>
      <c r="E145" s="21">
        <f t="shared" si="1"/>
        <v>0</v>
      </c>
      <c r="F145" s="19">
        <f t="array" ref="F145">IF(ROW()&lt;25,"",INDEX('Solar Power Plant Data'!H:H,ROW()-1))</f>
        <v>0</v>
      </c>
      <c r="G145" s="19">
        <f>IF(ROW()&lt;25,"",AVERAGE(OFFSET('Solar Power Plant Data'!H167,-23,0,24,1)))
</f>
        <v>876973.1667</v>
      </c>
      <c r="H145" s="21">
        <f>'Solar Power Plant Data'!H144/MAX('Solar Power Plant Data'!E144,0.0001)
</f>
        <v>0</v>
      </c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</row>
    <row r="146">
      <c r="A146" s="21">
        <f>HOUR('Solar Power Plant Data'!A145)</f>
        <v>23</v>
      </c>
      <c r="B146" s="21">
        <f>DAY('Solar Power Plant Data'!A145)</f>
        <v>1</v>
      </c>
      <c r="C146" s="21">
        <f>MONTH('Solar Power Plant Data'!A145)</f>
        <v>6</v>
      </c>
      <c r="D146" s="21" t="str">
        <f>TEXT('Solar Power Plant Data'!A145,"ddd")</f>
        <v>Thu</v>
      </c>
      <c r="E146" s="21">
        <f t="shared" si="1"/>
        <v>0</v>
      </c>
      <c r="F146" s="19">
        <f t="array" ref="F146">IF(ROW()&lt;25,"",INDEX('Solar Power Plant Data'!H:H,ROW()-1))</f>
        <v>0</v>
      </c>
      <c r="G146" s="19">
        <f>IF(ROW()&lt;25,"",AVERAGE(OFFSET('Solar Power Plant Data'!H168,-23,0,24,1)))
</f>
        <v>876973.1667</v>
      </c>
      <c r="H146" s="21">
        <f>'Solar Power Plant Data'!H145/MAX('Solar Power Plant Data'!E145,0.0001)
</f>
        <v>0</v>
      </c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</row>
    <row r="147">
      <c r="A147" s="21">
        <f>HOUR('Solar Power Plant Data'!A146)</f>
        <v>0</v>
      </c>
      <c r="B147" s="21">
        <f>DAY('Solar Power Plant Data'!A146)</f>
        <v>1</v>
      </c>
      <c r="C147" s="21">
        <f>MONTH('Solar Power Plant Data'!A146)</f>
        <v>7</v>
      </c>
      <c r="D147" s="21" t="str">
        <f>TEXT('Solar Power Plant Data'!A146,"ddd")</f>
        <v>Sat</v>
      </c>
      <c r="E147" s="21">
        <f t="shared" si="1"/>
        <v>1</v>
      </c>
      <c r="F147" s="19">
        <f t="array" ref="F147">IF(ROW()&lt;25,"",INDEX('Solar Power Plant Data'!H:H,ROW()-1))</f>
        <v>0</v>
      </c>
      <c r="G147" s="19">
        <f>IF(ROW()&lt;25,"",AVERAGE(OFFSET('Solar Power Plant Data'!H169,-23,0,24,1)))
</f>
        <v>876973.1667</v>
      </c>
      <c r="H147" s="21">
        <f>'Solar Power Plant Data'!H146/MAX('Solar Power Plant Data'!E146,0.0001)
</f>
        <v>0</v>
      </c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</row>
    <row r="148">
      <c r="A148" s="21">
        <f>HOUR('Solar Power Plant Data'!A147)</f>
        <v>1</v>
      </c>
      <c r="B148" s="21">
        <f>DAY('Solar Power Plant Data'!A147)</f>
        <v>1</v>
      </c>
      <c r="C148" s="21">
        <f>MONTH('Solar Power Plant Data'!A147)</f>
        <v>7</v>
      </c>
      <c r="D148" s="21" t="str">
        <f>TEXT('Solar Power Plant Data'!A147,"ddd")</f>
        <v>Sat</v>
      </c>
      <c r="E148" s="21">
        <f t="shared" si="1"/>
        <v>1</v>
      </c>
      <c r="F148" s="19">
        <f t="array" ref="F148">IF(ROW()&lt;25,"",INDEX('Solar Power Plant Data'!H:H,ROW()-1))</f>
        <v>0</v>
      </c>
      <c r="G148" s="19">
        <f>IF(ROW()&lt;25,"",AVERAGE(OFFSET('Solar Power Plant Data'!H170,-23,0,24,1)))
</f>
        <v>876973.1667</v>
      </c>
      <c r="H148" s="21">
        <f>'Solar Power Plant Data'!H147/MAX('Solar Power Plant Data'!E147,0.0001)
</f>
        <v>0</v>
      </c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</row>
    <row r="149">
      <c r="A149" s="21">
        <f>HOUR('Solar Power Plant Data'!A148)</f>
        <v>2</v>
      </c>
      <c r="B149" s="21">
        <f>DAY('Solar Power Plant Data'!A148)</f>
        <v>1</v>
      </c>
      <c r="C149" s="21">
        <f>MONTH('Solar Power Plant Data'!A148)</f>
        <v>7</v>
      </c>
      <c r="D149" s="21" t="str">
        <f>TEXT('Solar Power Plant Data'!A148,"ddd")</f>
        <v>Sat</v>
      </c>
      <c r="E149" s="21">
        <f t="shared" si="1"/>
        <v>1</v>
      </c>
      <c r="F149" s="19">
        <f t="array" ref="F149">IF(ROW()&lt;25,"",INDEX('Solar Power Plant Data'!H:H,ROW()-1))</f>
        <v>0</v>
      </c>
      <c r="G149" s="19">
        <f>IF(ROW()&lt;25,"",AVERAGE(OFFSET('Solar Power Plant Data'!H171,-23,0,24,1)))
</f>
        <v>876973.1667</v>
      </c>
      <c r="H149" s="21">
        <f>'Solar Power Plant Data'!H148/MAX('Solar Power Plant Data'!E148,0.0001)
</f>
        <v>0</v>
      </c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</row>
    <row r="150">
      <c r="A150" s="21">
        <f>HOUR('Solar Power Plant Data'!A149)</f>
        <v>3</v>
      </c>
      <c r="B150" s="21">
        <f>DAY('Solar Power Plant Data'!A149)</f>
        <v>1</v>
      </c>
      <c r="C150" s="21">
        <f>MONTH('Solar Power Plant Data'!A149)</f>
        <v>7</v>
      </c>
      <c r="D150" s="21" t="str">
        <f>TEXT('Solar Power Plant Data'!A149,"ddd")</f>
        <v>Sat</v>
      </c>
      <c r="E150" s="21">
        <f t="shared" si="1"/>
        <v>1</v>
      </c>
      <c r="F150" s="19">
        <f t="array" ref="F150">IF(ROW()&lt;25,"",INDEX('Solar Power Plant Data'!H:H,ROW()-1))</f>
        <v>0</v>
      </c>
      <c r="G150" s="19">
        <f>IF(ROW()&lt;25,"",AVERAGE(OFFSET('Solar Power Plant Data'!H172,-23,0,24,1)))
</f>
        <v>876973.1667</v>
      </c>
      <c r="H150" s="21">
        <f>'Solar Power Plant Data'!H149/MAX('Solar Power Plant Data'!E149,0.0001)
</f>
        <v>0</v>
      </c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</row>
    <row r="151">
      <c r="A151" s="21">
        <f>HOUR('Solar Power Plant Data'!A150)</f>
        <v>4</v>
      </c>
      <c r="B151" s="21">
        <f>DAY('Solar Power Plant Data'!A150)</f>
        <v>1</v>
      </c>
      <c r="C151" s="21">
        <f>MONTH('Solar Power Plant Data'!A150)</f>
        <v>7</v>
      </c>
      <c r="D151" s="21" t="str">
        <f>TEXT('Solar Power Plant Data'!A150,"ddd")</f>
        <v>Sat</v>
      </c>
      <c r="E151" s="21">
        <f t="shared" si="1"/>
        <v>1</v>
      </c>
      <c r="F151" s="19">
        <f t="array" ref="F151">IF(ROW()&lt;25,"",INDEX('Solar Power Plant Data'!H:H,ROW()-1))</f>
        <v>0</v>
      </c>
      <c r="G151" s="19">
        <f>IF(ROW()&lt;25,"",AVERAGE(OFFSET('Solar Power Plant Data'!H173,-23,0,24,1)))
</f>
        <v>876973.1667</v>
      </c>
      <c r="H151" s="21">
        <f>'Solar Power Plant Data'!H150/MAX('Solar Power Plant Data'!E150,0.0001)
</f>
        <v>0</v>
      </c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</row>
    <row r="152">
      <c r="A152" s="21">
        <f>HOUR('Solar Power Plant Data'!A151)</f>
        <v>5</v>
      </c>
      <c r="B152" s="21">
        <f>DAY('Solar Power Plant Data'!A151)</f>
        <v>1</v>
      </c>
      <c r="C152" s="21">
        <f>MONTH('Solar Power Plant Data'!A151)</f>
        <v>7</v>
      </c>
      <c r="D152" s="21" t="str">
        <f>TEXT('Solar Power Plant Data'!A151,"ddd")</f>
        <v>Sat</v>
      </c>
      <c r="E152" s="21">
        <f t="shared" si="1"/>
        <v>1</v>
      </c>
      <c r="F152" s="19">
        <f t="array" ref="F152">IF(ROW()&lt;25,"",INDEX('Solar Power Plant Data'!H:H,ROW()-1))</f>
        <v>0</v>
      </c>
      <c r="G152" s="19">
        <f>IF(ROW()&lt;25,"",AVERAGE(OFFSET('Solar Power Plant Data'!H174,-23,0,24,1)))
</f>
        <v>876973.1667</v>
      </c>
      <c r="H152" s="21">
        <f>'Solar Power Plant Data'!H151/MAX('Solar Power Plant Data'!E151,0.0001)
</f>
        <v>0</v>
      </c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</row>
    <row r="153">
      <c r="A153" s="21">
        <f>HOUR('Solar Power Plant Data'!A152)</f>
        <v>6</v>
      </c>
      <c r="B153" s="21">
        <f>DAY('Solar Power Plant Data'!A152)</f>
        <v>1</v>
      </c>
      <c r="C153" s="21">
        <f>MONTH('Solar Power Plant Data'!A152)</f>
        <v>7</v>
      </c>
      <c r="D153" s="21" t="str">
        <f>TEXT('Solar Power Plant Data'!A152,"ddd")</f>
        <v>Sat</v>
      </c>
      <c r="E153" s="21">
        <f t="shared" si="1"/>
        <v>1</v>
      </c>
      <c r="F153" s="19">
        <f t="array" ref="F153">IF(ROW()&lt;25,"",INDEX('Solar Power Plant Data'!H:H,ROW()-1))</f>
        <v>0</v>
      </c>
      <c r="G153" s="19">
        <f>IF(ROW()&lt;25,"",AVERAGE(OFFSET('Solar Power Plant Data'!H175,-23,0,24,1)))
</f>
        <v>876973.1667</v>
      </c>
      <c r="H153" s="21">
        <f>'Solar Power Plant Data'!H152/MAX('Solar Power Plant Data'!E152,0.0001)
</f>
        <v>0</v>
      </c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</row>
    <row r="154">
      <c r="A154" s="21">
        <f>HOUR('Solar Power Plant Data'!A153)</f>
        <v>7</v>
      </c>
      <c r="B154" s="21">
        <f>DAY('Solar Power Plant Data'!A153)</f>
        <v>1</v>
      </c>
      <c r="C154" s="21">
        <f>MONTH('Solar Power Plant Data'!A153)</f>
        <v>7</v>
      </c>
      <c r="D154" s="21" t="str">
        <f>TEXT('Solar Power Plant Data'!A153,"ddd")</f>
        <v>Sat</v>
      </c>
      <c r="E154" s="21">
        <f t="shared" si="1"/>
        <v>1</v>
      </c>
      <c r="F154" s="19">
        <f t="array" ref="F154">IF(ROW()&lt;25,"",INDEX('Solar Power Plant Data'!H:H,ROW()-1))</f>
        <v>0</v>
      </c>
      <c r="G154" s="19">
        <f>IF(ROW()&lt;25,"",AVERAGE(OFFSET('Solar Power Plant Data'!H176,-23,0,24,1)))
</f>
        <v>876973.1667</v>
      </c>
      <c r="H154" s="21">
        <f>'Solar Power Plant Data'!H153/MAX('Solar Power Plant Data'!E153,0.0001)
</f>
        <v>0</v>
      </c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</row>
    <row r="155">
      <c r="A155" s="21">
        <f>HOUR('Solar Power Plant Data'!A154)</f>
        <v>8</v>
      </c>
      <c r="B155" s="21">
        <f>DAY('Solar Power Plant Data'!A154)</f>
        <v>1</v>
      </c>
      <c r="C155" s="21">
        <f>MONTH('Solar Power Plant Data'!A154)</f>
        <v>7</v>
      </c>
      <c r="D155" s="21" t="str">
        <f>TEXT('Solar Power Plant Data'!A154,"ddd")</f>
        <v>Sat</v>
      </c>
      <c r="E155" s="21">
        <f t="shared" si="1"/>
        <v>1</v>
      </c>
      <c r="F155" s="19">
        <f t="array" ref="F155">IF(ROW()&lt;25,"",INDEX('Solar Power Plant Data'!H:H,ROW()-1))</f>
        <v>0</v>
      </c>
      <c r="G155" s="19">
        <f>IF(ROW()&lt;25,"",AVERAGE(OFFSET('Solar Power Plant Data'!H177,-23,0,24,1)))
</f>
        <v>876973.1667</v>
      </c>
      <c r="H155" s="21">
        <f>'Solar Power Plant Data'!H154/MAX('Solar Power Plant Data'!E154,0.0001)
</f>
        <v>0</v>
      </c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</row>
    <row r="156">
      <c r="A156" s="21">
        <f>HOUR('Solar Power Plant Data'!A155)</f>
        <v>9</v>
      </c>
      <c r="B156" s="21">
        <f>DAY('Solar Power Plant Data'!A155)</f>
        <v>1</v>
      </c>
      <c r="C156" s="21">
        <f>MONTH('Solar Power Plant Data'!A155)</f>
        <v>7</v>
      </c>
      <c r="D156" s="21" t="str">
        <f>TEXT('Solar Power Plant Data'!A155,"ddd")</f>
        <v>Sat</v>
      </c>
      <c r="E156" s="21">
        <f t="shared" si="1"/>
        <v>1</v>
      </c>
      <c r="F156" s="19">
        <f t="array" ref="F156">IF(ROW()&lt;25,"",INDEX('Solar Power Plant Data'!H:H,ROW()-1))</f>
        <v>0</v>
      </c>
      <c r="G156" s="19">
        <f>IF(ROW()&lt;25,"",AVERAGE(OFFSET('Solar Power Plant Data'!H178,-23,0,24,1)))
</f>
        <v>876973.1667</v>
      </c>
      <c r="H156" s="21">
        <f>'Solar Power Plant Data'!H155/MAX('Solar Power Plant Data'!E155,0.0001)
</f>
        <v>0</v>
      </c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</row>
    <row r="157">
      <c r="A157" s="21">
        <f>HOUR('Solar Power Plant Data'!A156)</f>
        <v>10</v>
      </c>
      <c r="B157" s="21">
        <f>DAY('Solar Power Plant Data'!A156)</f>
        <v>1</v>
      </c>
      <c r="C157" s="21">
        <f>MONTH('Solar Power Plant Data'!A156)</f>
        <v>7</v>
      </c>
      <c r="D157" s="21" t="str">
        <f>TEXT('Solar Power Plant Data'!A156,"ddd")</f>
        <v>Sat</v>
      </c>
      <c r="E157" s="21">
        <f t="shared" si="1"/>
        <v>1</v>
      </c>
      <c r="F157" s="19">
        <f t="array" ref="F157">IF(ROW()&lt;25,"",INDEX('Solar Power Plant Data'!H:H,ROW()-1))</f>
        <v>0</v>
      </c>
      <c r="G157" s="19">
        <f>IF(ROW()&lt;25,"",AVERAGE(OFFSET('Solar Power Plant Data'!H179,-23,0,24,1)))
</f>
        <v>876973.1667</v>
      </c>
      <c r="H157" s="21">
        <f>'Solar Power Plant Data'!H156/MAX('Solar Power Plant Data'!E156,0.0001)
</f>
        <v>0</v>
      </c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</row>
    <row r="158">
      <c r="A158" s="21">
        <f>HOUR('Solar Power Plant Data'!A157)</f>
        <v>11</v>
      </c>
      <c r="B158" s="21">
        <f>DAY('Solar Power Plant Data'!A157)</f>
        <v>1</v>
      </c>
      <c r="C158" s="21">
        <f>MONTH('Solar Power Plant Data'!A157)</f>
        <v>7</v>
      </c>
      <c r="D158" s="21" t="str">
        <f>TEXT('Solar Power Plant Data'!A157,"ddd")</f>
        <v>Sat</v>
      </c>
      <c r="E158" s="21">
        <f t="shared" si="1"/>
        <v>1</v>
      </c>
      <c r="F158" s="19">
        <f t="array" ref="F158">IF(ROW()&lt;25,"",INDEX('Solar Power Plant Data'!H:H,ROW()-1))</f>
        <v>218</v>
      </c>
      <c r="G158" s="19">
        <f>IF(ROW()&lt;25,"",AVERAGE(OFFSET('Solar Power Plant Data'!H180,-23,0,24,1)))
</f>
        <v>876973.1667</v>
      </c>
      <c r="H158" s="21">
        <f>'Solar Power Plant Data'!H157/MAX('Solar Power Plant Data'!E157,0.0001)
</f>
        <v>2180000</v>
      </c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</row>
    <row r="159">
      <c r="A159" s="21">
        <f>HOUR('Solar Power Plant Data'!A158)</f>
        <v>12</v>
      </c>
      <c r="B159" s="21">
        <f>DAY('Solar Power Plant Data'!A158)</f>
        <v>1</v>
      </c>
      <c r="C159" s="21">
        <f>MONTH('Solar Power Plant Data'!A158)</f>
        <v>7</v>
      </c>
      <c r="D159" s="21" t="str">
        <f>TEXT('Solar Power Plant Data'!A158,"ddd")</f>
        <v>Sat</v>
      </c>
      <c r="E159" s="21">
        <f t="shared" si="1"/>
        <v>1</v>
      </c>
      <c r="F159" s="19">
        <f t="array" ref="F159">IF(ROW()&lt;25,"",INDEX('Solar Power Plant Data'!H:H,ROW()-1))</f>
        <v>8301667</v>
      </c>
      <c r="G159" s="19">
        <f>IF(ROW()&lt;25,"",AVERAGE(OFFSET('Solar Power Plant Data'!H181,-23,0,24,1)))
</f>
        <v>936061.2917</v>
      </c>
      <c r="H159" s="21">
        <f>'Solar Power Plant Data'!H158/MAX('Solar Power Plant Data'!E158,0.0001)
</f>
        <v>138361.1167</v>
      </c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</row>
    <row r="160">
      <c r="A160" s="21">
        <f>HOUR('Solar Power Plant Data'!A159)</f>
        <v>13</v>
      </c>
      <c r="B160" s="21">
        <f>DAY('Solar Power Plant Data'!A159)</f>
        <v>1</v>
      </c>
      <c r="C160" s="21">
        <f>MONTH('Solar Power Plant Data'!A159)</f>
        <v>7</v>
      </c>
      <c r="D160" s="21" t="str">
        <f>TEXT('Solar Power Plant Data'!A159,"ddd")</f>
        <v>Sat</v>
      </c>
      <c r="E160" s="21">
        <f t="shared" si="1"/>
        <v>1</v>
      </c>
      <c r="F160" s="19">
        <f t="array" ref="F160">IF(ROW()&lt;25,"",INDEX('Solar Power Plant Data'!H:H,ROW()-1))</f>
        <v>10951666</v>
      </c>
      <c r="G160" s="19">
        <f>IF(ROW()&lt;25,"",AVERAGE(OFFSET('Solar Power Plant Data'!H182,-23,0,24,1)))
</f>
        <v>881755.75</v>
      </c>
      <c r="H160" s="21">
        <f>'Solar Power Plant Data'!H159/MAX('Solar Power Plant Data'!E159,0.0001)
</f>
        <v>109516660000</v>
      </c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</row>
    <row r="161">
      <c r="A161" s="21">
        <f>HOUR('Solar Power Plant Data'!A160)</f>
        <v>14</v>
      </c>
      <c r="B161" s="21">
        <f>DAY('Solar Power Plant Data'!A160)</f>
        <v>1</v>
      </c>
      <c r="C161" s="21">
        <f>MONTH('Solar Power Plant Data'!A160)</f>
        <v>7</v>
      </c>
      <c r="D161" s="21" t="str">
        <f>TEXT('Solar Power Plant Data'!A160,"ddd")</f>
        <v>Sat</v>
      </c>
      <c r="E161" s="21">
        <f t="shared" si="1"/>
        <v>1</v>
      </c>
      <c r="F161" s="19">
        <f t="array" ref="F161">IF(ROW()&lt;25,"",INDEX('Solar Power Plant Data'!H:H,ROW()-1))</f>
        <v>472</v>
      </c>
      <c r="G161" s="19">
        <f>IF(ROW()&lt;25,"",AVERAGE(OFFSET('Solar Power Plant Data'!H183,-23,0,24,1)))
</f>
        <v>1002172.458</v>
      </c>
      <c r="H161" s="21">
        <f>'Solar Power Plant Data'!H160/MAX('Solar Power Plant Data'!E160,0.0001)
</f>
        <v>4720000</v>
      </c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</row>
    <row r="162">
      <c r="A162" s="21">
        <f>HOUR('Solar Power Plant Data'!A161)</f>
        <v>15</v>
      </c>
      <c r="B162" s="21">
        <f>DAY('Solar Power Plant Data'!A161)</f>
        <v>1</v>
      </c>
      <c r="C162" s="21">
        <f>MONTH('Solar Power Plant Data'!A161)</f>
        <v>7</v>
      </c>
      <c r="D162" s="21" t="str">
        <f>TEXT('Solar Power Plant Data'!A161,"ddd")</f>
        <v>Sat</v>
      </c>
      <c r="E162" s="21">
        <f t="shared" si="1"/>
        <v>1</v>
      </c>
      <c r="F162" s="19">
        <f t="array" ref="F162">IF(ROW()&lt;25,"",INDEX('Solar Power Plant Data'!H:H,ROW()-1))</f>
        <v>1793333</v>
      </c>
      <c r="G162" s="19">
        <f>IF(ROW()&lt;25,"",AVERAGE(OFFSET('Solar Power Plant Data'!H184,-23,0,24,1)))
</f>
        <v>1002170.792</v>
      </c>
      <c r="H162" s="21">
        <f>'Solar Power Plant Data'!H161/MAX('Solar Power Plant Data'!E161,0.0001)
</f>
        <v>17933330000</v>
      </c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</row>
    <row r="163">
      <c r="A163" s="21">
        <f>HOUR('Solar Power Plant Data'!A162)</f>
        <v>16</v>
      </c>
      <c r="B163" s="21">
        <f>DAY('Solar Power Plant Data'!A162)</f>
        <v>1</v>
      </c>
      <c r="C163" s="21">
        <f>MONTH('Solar Power Plant Data'!A162)</f>
        <v>7</v>
      </c>
      <c r="D163" s="21" t="str">
        <f>TEXT('Solar Power Plant Data'!A162,"ddd")</f>
        <v>Sat</v>
      </c>
      <c r="E163" s="21">
        <f t="shared" si="1"/>
        <v>1</v>
      </c>
      <c r="F163" s="19">
        <f t="array" ref="F163">IF(ROW()&lt;25,"",INDEX('Solar Power Plant Data'!H:H,ROW()-1))</f>
        <v>0</v>
      </c>
      <c r="G163" s="19">
        <f>IF(ROW()&lt;25,"",AVERAGE(OFFSET('Solar Power Plant Data'!H185,-23,0,24,1)))
</f>
        <v>971823.5417</v>
      </c>
      <c r="H163" s="21">
        <f>'Solar Power Plant Data'!H162/MAX('Solar Power Plant Data'!E162,0.0001)
</f>
        <v>0</v>
      </c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</row>
    <row r="164">
      <c r="A164" s="21">
        <f>HOUR('Solar Power Plant Data'!A163)</f>
        <v>17</v>
      </c>
      <c r="B164" s="21">
        <f>DAY('Solar Power Plant Data'!A163)</f>
        <v>1</v>
      </c>
      <c r="C164" s="21">
        <f>MONTH('Solar Power Plant Data'!A163)</f>
        <v>7</v>
      </c>
      <c r="D164" s="21" t="str">
        <f>TEXT('Solar Power Plant Data'!A163,"ddd")</f>
        <v>Sat</v>
      </c>
      <c r="E164" s="21">
        <f t="shared" si="1"/>
        <v>1</v>
      </c>
      <c r="F164" s="19">
        <f t="array" ref="F164">IF(ROW()&lt;25,"",INDEX('Solar Power Plant Data'!H:H,ROW()-1))</f>
        <v>0</v>
      </c>
      <c r="G164" s="19">
        <f>IF(ROW()&lt;25,"",AVERAGE(OFFSET('Solar Power Plant Data'!H186,-23,0,24,1)))
</f>
        <v>971823.5417</v>
      </c>
      <c r="H164" s="21">
        <f>'Solar Power Plant Data'!H163/MAX('Solar Power Plant Data'!E163,0.0001)
</f>
        <v>0</v>
      </c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</row>
    <row r="165">
      <c r="A165" s="21">
        <f>HOUR('Solar Power Plant Data'!A164)</f>
        <v>18</v>
      </c>
      <c r="B165" s="21">
        <f>DAY('Solar Power Plant Data'!A164)</f>
        <v>1</v>
      </c>
      <c r="C165" s="21">
        <f>MONTH('Solar Power Plant Data'!A164)</f>
        <v>7</v>
      </c>
      <c r="D165" s="21" t="str">
        <f>TEXT('Solar Power Plant Data'!A164,"ddd")</f>
        <v>Sat</v>
      </c>
      <c r="E165" s="21">
        <f t="shared" si="1"/>
        <v>1</v>
      </c>
      <c r="F165" s="19">
        <f t="array" ref="F165">IF(ROW()&lt;25,"",INDEX('Solar Power Plant Data'!H:H,ROW()-1))</f>
        <v>0</v>
      </c>
      <c r="G165" s="19">
        <f>IF(ROW()&lt;25,"",AVERAGE(OFFSET('Solar Power Plant Data'!H187,-23,0,24,1)))
</f>
        <v>971823.5417</v>
      </c>
      <c r="H165" s="21">
        <f>'Solar Power Plant Data'!H164/MAX('Solar Power Plant Data'!E164,0.0001)
</f>
        <v>0</v>
      </c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</row>
    <row r="166">
      <c r="A166" s="21">
        <f>HOUR('Solar Power Plant Data'!A165)</f>
        <v>19</v>
      </c>
      <c r="B166" s="21">
        <f>DAY('Solar Power Plant Data'!A165)</f>
        <v>1</v>
      </c>
      <c r="C166" s="21">
        <f>MONTH('Solar Power Plant Data'!A165)</f>
        <v>7</v>
      </c>
      <c r="D166" s="21" t="str">
        <f>TEXT('Solar Power Plant Data'!A165,"ddd")</f>
        <v>Sat</v>
      </c>
      <c r="E166" s="21">
        <f t="shared" si="1"/>
        <v>1</v>
      </c>
      <c r="F166" s="19">
        <f t="array" ref="F166">IF(ROW()&lt;25,"",INDEX('Solar Power Plant Data'!H:H,ROW()-1))</f>
        <v>0</v>
      </c>
      <c r="G166" s="19">
        <f>IF(ROW()&lt;25,"",AVERAGE(OFFSET('Solar Power Plant Data'!H188,-23,0,24,1)))
</f>
        <v>971823.5417</v>
      </c>
      <c r="H166" s="21">
        <f>'Solar Power Plant Data'!H165/MAX('Solar Power Plant Data'!E165,0.0001)
</f>
        <v>0</v>
      </c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</row>
    <row r="167">
      <c r="A167" s="21">
        <f>HOUR('Solar Power Plant Data'!A166)</f>
        <v>20</v>
      </c>
      <c r="B167" s="21">
        <f>DAY('Solar Power Plant Data'!A166)</f>
        <v>1</v>
      </c>
      <c r="C167" s="21">
        <f>MONTH('Solar Power Plant Data'!A166)</f>
        <v>7</v>
      </c>
      <c r="D167" s="21" t="str">
        <f>TEXT('Solar Power Plant Data'!A166,"ddd")</f>
        <v>Sat</v>
      </c>
      <c r="E167" s="21">
        <f t="shared" si="1"/>
        <v>1</v>
      </c>
      <c r="F167" s="19">
        <f t="array" ref="F167">IF(ROW()&lt;25,"",INDEX('Solar Power Plant Data'!H:H,ROW()-1))</f>
        <v>0</v>
      </c>
      <c r="G167" s="19">
        <f>IF(ROW()&lt;25,"",AVERAGE(OFFSET('Solar Power Plant Data'!H189,-23,0,24,1)))
</f>
        <v>971823.5417</v>
      </c>
      <c r="H167" s="21">
        <f>'Solar Power Plant Data'!H166/MAX('Solar Power Plant Data'!E166,0.0001)
</f>
        <v>0</v>
      </c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</row>
    <row r="168">
      <c r="A168" s="21">
        <f>HOUR('Solar Power Plant Data'!A167)</f>
        <v>21</v>
      </c>
      <c r="B168" s="21">
        <f>DAY('Solar Power Plant Data'!A167)</f>
        <v>1</v>
      </c>
      <c r="C168" s="21">
        <f>MONTH('Solar Power Plant Data'!A167)</f>
        <v>7</v>
      </c>
      <c r="D168" s="21" t="str">
        <f>TEXT('Solar Power Plant Data'!A167,"ddd")</f>
        <v>Sat</v>
      </c>
      <c r="E168" s="21">
        <f t="shared" si="1"/>
        <v>1</v>
      </c>
      <c r="F168" s="19">
        <f t="array" ref="F168">IF(ROW()&lt;25,"",INDEX('Solar Power Plant Data'!H:H,ROW()-1))</f>
        <v>0</v>
      </c>
      <c r="G168" s="19">
        <f>IF(ROW()&lt;25,"",AVERAGE(OFFSET('Solar Power Plant Data'!H190,-23,0,24,1)))
</f>
        <v>971823.5417</v>
      </c>
      <c r="H168" s="21">
        <f>'Solar Power Plant Data'!H167/MAX('Solar Power Plant Data'!E167,0.0001)
</f>
        <v>0</v>
      </c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</row>
    <row r="169">
      <c r="A169" s="21">
        <f>HOUR('Solar Power Plant Data'!A168)</f>
        <v>22</v>
      </c>
      <c r="B169" s="21">
        <f>DAY('Solar Power Plant Data'!A168)</f>
        <v>1</v>
      </c>
      <c r="C169" s="21">
        <f>MONTH('Solar Power Plant Data'!A168)</f>
        <v>7</v>
      </c>
      <c r="D169" s="21" t="str">
        <f>TEXT('Solar Power Plant Data'!A168,"ddd")</f>
        <v>Sat</v>
      </c>
      <c r="E169" s="21">
        <f t="shared" si="1"/>
        <v>1</v>
      </c>
      <c r="F169" s="19">
        <f t="array" ref="F169">IF(ROW()&lt;25,"",INDEX('Solar Power Plant Data'!H:H,ROW()-1))</f>
        <v>0</v>
      </c>
      <c r="G169" s="19">
        <f>IF(ROW()&lt;25,"",AVERAGE(OFFSET('Solar Power Plant Data'!H191,-23,0,24,1)))
</f>
        <v>971823.5417</v>
      </c>
      <c r="H169" s="21">
        <f>'Solar Power Plant Data'!H168/MAX('Solar Power Plant Data'!E168,0.0001)
</f>
        <v>0</v>
      </c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</row>
    <row r="170">
      <c r="A170" s="21">
        <f>HOUR('Solar Power Plant Data'!A169)</f>
        <v>23</v>
      </c>
      <c r="B170" s="21">
        <f>DAY('Solar Power Plant Data'!A169)</f>
        <v>1</v>
      </c>
      <c r="C170" s="21">
        <f>MONTH('Solar Power Plant Data'!A169)</f>
        <v>7</v>
      </c>
      <c r="D170" s="21" t="str">
        <f>TEXT('Solar Power Plant Data'!A169,"ddd")</f>
        <v>Sat</v>
      </c>
      <c r="E170" s="21">
        <f t="shared" si="1"/>
        <v>1</v>
      </c>
      <c r="F170" s="19">
        <f t="array" ref="F170">IF(ROW()&lt;25,"",INDEX('Solar Power Plant Data'!H:H,ROW()-1))</f>
        <v>0</v>
      </c>
      <c r="G170" s="19">
        <f>IF(ROW()&lt;25,"",AVERAGE(OFFSET('Solar Power Plant Data'!H192,-23,0,24,1)))
</f>
        <v>971823.5417</v>
      </c>
      <c r="H170" s="21">
        <f>'Solar Power Plant Data'!H169/MAX('Solar Power Plant Data'!E169,0.0001)
</f>
        <v>0</v>
      </c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</row>
    <row r="171">
      <c r="A171" s="21">
        <f>HOUR('Solar Power Plant Data'!A170)</f>
        <v>0</v>
      </c>
      <c r="B171" s="21">
        <f>DAY('Solar Power Plant Data'!A170)</f>
        <v>1</v>
      </c>
      <c r="C171" s="21">
        <f>MONTH('Solar Power Plant Data'!A170)</f>
        <v>8</v>
      </c>
      <c r="D171" s="21" t="str">
        <f>TEXT('Solar Power Plant Data'!A170,"ddd")</f>
        <v>Tue</v>
      </c>
      <c r="E171" s="21">
        <f t="shared" si="1"/>
        <v>0</v>
      </c>
      <c r="F171" s="19">
        <f t="array" ref="F171">IF(ROW()&lt;25,"",INDEX('Solar Power Plant Data'!H:H,ROW()-1))</f>
        <v>0</v>
      </c>
      <c r="G171" s="19">
        <f>IF(ROW()&lt;25,"",AVERAGE(OFFSET('Solar Power Plant Data'!H193,-23,0,24,1)))
</f>
        <v>971823.5417</v>
      </c>
      <c r="H171" s="21">
        <f>'Solar Power Plant Data'!H170/MAX('Solar Power Plant Data'!E170,0.0001)
</f>
        <v>0</v>
      </c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</row>
    <row r="172">
      <c r="A172" s="21">
        <f>HOUR('Solar Power Plant Data'!A171)</f>
        <v>1</v>
      </c>
      <c r="B172" s="21">
        <f>DAY('Solar Power Plant Data'!A171)</f>
        <v>1</v>
      </c>
      <c r="C172" s="21">
        <f>MONTH('Solar Power Plant Data'!A171)</f>
        <v>8</v>
      </c>
      <c r="D172" s="21" t="str">
        <f>TEXT('Solar Power Plant Data'!A171,"ddd")</f>
        <v>Tue</v>
      </c>
      <c r="E172" s="21">
        <f t="shared" si="1"/>
        <v>0</v>
      </c>
      <c r="F172" s="19">
        <f t="array" ref="F172">IF(ROW()&lt;25,"",INDEX('Solar Power Plant Data'!H:H,ROW()-1))</f>
        <v>0</v>
      </c>
      <c r="G172" s="19">
        <f>IF(ROW()&lt;25,"",AVERAGE(OFFSET('Solar Power Plant Data'!H194,-23,0,24,1)))
</f>
        <v>971823.5417</v>
      </c>
      <c r="H172" s="21">
        <f>'Solar Power Plant Data'!H171/MAX('Solar Power Plant Data'!E171,0.0001)
</f>
        <v>0</v>
      </c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</row>
    <row r="173">
      <c r="A173" s="21">
        <f>HOUR('Solar Power Plant Data'!A172)</f>
        <v>2</v>
      </c>
      <c r="B173" s="21">
        <f>DAY('Solar Power Plant Data'!A172)</f>
        <v>1</v>
      </c>
      <c r="C173" s="21">
        <f>MONTH('Solar Power Plant Data'!A172)</f>
        <v>8</v>
      </c>
      <c r="D173" s="21" t="str">
        <f>TEXT('Solar Power Plant Data'!A172,"ddd")</f>
        <v>Tue</v>
      </c>
      <c r="E173" s="21">
        <f t="shared" si="1"/>
        <v>0</v>
      </c>
      <c r="F173" s="19">
        <f t="array" ref="F173">IF(ROW()&lt;25,"",INDEX('Solar Power Plant Data'!H:H,ROW()-1))</f>
        <v>0</v>
      </c>
      <c r="G173" s="19">
        <f>IF(ROW()&lt;25,"",AVERAGE(OFFSET('Solar Power Plant Data'!H195,-23,0,24,1)))
</f>
        <v>971823.5417</v>
      </c>
      <c r="H173" s="21">
        <f>'Solar Power Plant Data'!H172/MAX('Solar Power Plant Data'!E172,0.0001)
</f>
        <v>0</v>
      </c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</row>
    <row r="174">
      <c r="A174" s="21">
        <f>HOUR('Solar Power Plant Data'!A173)</f>
        <v>3</v>
      </c>
      <c r="B174" s="21">
        <f>DAY('Solar Power Plant Data'!A173)</f>
        <v>1</v>
      </c>
      <c r="C174" s="21">
        <f>MONTH('Solar Power Plant Data'!A173)</f>
        <v>8</v>
      </c>
      <c r="D174" s="21" t="str">
        <f>TEXT('Solar Power Plant Data'!A173,"ddd")</f>
        <v>Tue</v>
      </c>
      <c r="E174" s="21">
        <f t="shared" si="1"/>
        <v>0</v>
      </c>
      <c r="F174" s="19">
        <f t="array" ref="F174">IF(ROW()&lt;25,"",INDEX('Solar Power Plant Data'!H:H,ROW()-1))</f>
        <v>0</v>
      </c>
      <c r="G174" s="19">
        <f>IF(ROW()&lt;25,"",AVERAGE(OFFSET('Solar Power Plant Data'!H196,-23,0,24,1)))
</f>
        <v>971823.5417</v>
      </c>
      <c r="H174" s="21">
        <f>'Solar Power Plant Data'!H173/MAX('Solar Power Plant Data'!E173,0.0001)
</f>
        <v>0</v>
      </c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</row>
    <row r="175">
      <c r="A175" s="21">
        <f>HOUR('Solar Power Plant Data'!A174)</f>
        <v>4</v>
      </c>
      <c r="B175" s="21">
        <f>DAY('Solar Power Plant Data'!A174)</f>
        <v>1</v>
      </c>
      <c r="C175" s="21">
        <f>MONTH('Solar Power Plant Data'!A174)</f>
        <v>8</v>
      </c>
      <c r="D175" s="21" t="str">
        <f>TEXT('Solar Power Plant Data'!A174,"ddd")</f>
        <v>Tue</v>
      </c>
      <c r="E175" s="21">
        <f t="shared" si="1"/>
        <v>0</v>
      </c>
      <c r="F175" s="19">
        <f t="array" ref="F175">IF(ROW()&lt;25,"",INDEX('Solar Power Plant Data'!H:H,ROW()-1))</f>
        <v>0</v>
      </c>
      <c r="G175" s="19">
        <f>IF(ROW()&lt;25,"",AVERAGE(OFFSET('Solar Power Plant Data'!H197,-23,0,24,1)))
</f>
        <v>971823.5417</v>
      </c>
      <c r="H175" s="21">
        <f>'Solar Power Plant Data'!H174/MAX('Solar Power Plant Data'!E174,0.0001)
</f>
        <v>0</v>
      </c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</row>
    <row r="176">
      <c r="A176" s="21">
        <f>HOUR('Solar Power Plant Data'!A175)</f>
        <v>5</v>
      </c>
      <c r="B176" s="21">
        <f>DAY('Solar Power Plant Data'!A175)</f>
        <v>1</v>
      </c>
      <c r="C176" s="21">
        <f>MONTH('Solar Power Plant Data'!A175)</f>
        <v>8</v>
      </c>
      <c r="D176" s="21" t="str">
        <f>TEXT('Solar Power Plant Data'!A175,"ddd")</f>
        <v>Tue</v>
      </c>
      <c r="E176" s="21">
        <f t="shared" si="1"/>
        <v>0</v>
      </c>
      <c r="F176" s="19">
        <f t="array" ref="F176">IF(ROW()&lt;25,"",INDEX('Solar Power Plant Data'!H:H,ROW()-1))</f>
        <v>0</v>
      </c>
      <c r="G176" s="19">
        <f>IF(ROW()&lt;25,"",AVERAGE(OFFSET('Solar Power Plant Data'!H198,-23,0,24,1)))
</f>
        <v>971823.5417</v>
      </c>
      <c r="H176" s="21">
        <f>'Solar Power Plant Data'!H175/MAX('Solar Power Plant Data'!E175,0.0001)
</f>
        <v>0</v>
      </c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</row>
    <row r="177">
      <c r="A177" s="21">
        <f>HOUR('Solar Power Plant Data'!A176)</f>
        <v>6</v>
      </c>
      <c r="B177" s="21">
        <f>DAY('Solar Power Plant Data'!A176)</f>
        <v>1</v>
      </c>
      <c r="C177" s="21">
        <f>MONTH('Solar Power Plant Data'!A176)</f>
        <v>8</v>
      </c>
      <c r="D177" s="21" t="str">
        <f>TEXT('Solar Power Plant Data'!A176,"ddd")</f>
        <v>Tue</v>
      </c>
      <c r="E177" s="21">
        <f t="shared" si="1"/>
        <v>0</v>
      </c>
      <c r="F177" s="19">
        <f t="array" ref="F177">IF(ROW()&lt;25,"",INDEX('Solar Power Plant Data'!H:H,ROW()-1))</f>
        <v>0</v>
      </c>
      <c r="G177" s="19">
        <f>IF(ROW()&lt;25,"",AVERAGE(OFFSET('Solar Power Plant Data'!H199,-23,0,24,1)))
</f>
        <v>971823.5417</v>
      </c>
      <c r="H177" s="21">
        <f>'Solar Power Plant Data'!H176/MAX('Solar Power Plant Data'!E176,0.0001)
</f>
        <v>0</v>
      </c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</row>
    <row r="178">
      <c r="A178" s="21">
        <f>HOUR('Solar Power Plant Data'!A177)</f>
        <v>7</v>
      </c>
      <c r="B178" s="21">
        <f>DAY('Solar Power Plant Data'!A177)</f>
        <v>1</v>
      </c>
      <c r="C178" s="21">
        <f>MONTH('Solar Power Plant Data'!A177)</f>
        <v>8</v>
      </c>
      <c r="D178" s="21" t="str">
        <f>TEXT('Solar Power Plant Data'!A177,"ddd")</f>
        <v>Tue</v>
      </c>
      <c r="E178" s="21">
        <f t="shared" si="1"/>
        <v>0</v>
      </c>
      <c r="F178" s="19">
        <f t="array" ref="F178">IF(ROW()&lt;25,"",INDEX('Solar Power Plant Data'!H:H,ROW()-1))</f>
        <v>0</v>
      </c>
      <c r="G178" s="19">
        <f>IF(ROW()&lt;25,"",AVERAGE(OFFSET('Solar Power Plant Data'!H200,-23,0,24,1)))
</f>
        <v>971823.5417</v>
      </c>
      <c r="H178" s="21">
        <f>'Solar Power Plant Data'!H177/MAX('Solar Power Plant Data'!E177,0.0001)
</f>
        <v>0</v>
      </c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</row>
    <row r="179">
      <c r="A179" s="21">
        <f>HOUR('Solar Power Plant Data'!A178)</f>
        <v>8</v>
      </c>
      <c r="B179" s="21">
        <f>DAY('Solar Power Plant Data'!A178)</f>
        <v>1</v>
      </c>
      <c r="C179" s="21">
        <f>MONTH('Solar Power Plant Data'!A178)</f>
        <v>8</v>
      </c>
      <c r="D179" s="21" t="str">
        <f>TEXT('Solar Power Plant Data'!A178,"ddd")</f>
        <v>Tue</v>
      </c>
      <c r="E179" s="21">
        <f t="shared" si="1"/>
        <v>0</v>
      </c>
      <c r="F179" s="19">
        <f t="array" ref="F179">IF(ROW()&lt;25,"",INDEX('Solar Power Plant Data'!H:H,ROW()-1))</f>
        <v>0</v>
      </c>
      <c r="G179" s="19">
        <f>IF(ROW()&lt;25,"",AVERAGE(OFFSET('Solar Power Plant Data'!H201,-23,0,24,1)))
</f>
        <v>971823.5417</v>
      </c>
      <c r="H179" s="21">
        <f>'Solar Power Plant Data'!H178/MAX('Solar Power Plant Data'!E178,0.0001)
</f>
        <v>0</v>
      </c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</row>
    <row r="180">
      <c r="A180" s="21">
        <f>HOUR('Solar Power Plant Data'!A179)</f>
        <v>9</v>
      </c>
      <c r="B180" s="21">
        <f>DAY('Solar Power Plant Data'!A179)</f>
        <v>1</v>
      </c>
      <c r="C180" s="21">
        <f>MONTH('Solar Power Plant Data'!A179)</f>
        <v>8</v>
      </c>
      <c r="D180" s="21" t="str">
        <f>TEXT('Solar Power Plant Data'!A179,"ddd")</f>
        <v>Tue</v>
      </c>
      <c r="E180" s="21">
        <f t="shared" si="1"/>
        <v>0</v>
      </c>
      <c r="F180" s="19">
        <f t="array" ref="F180">IF(ROW()&lt;25,"",INDEX('Solar Power Plant Data'!H:H,ROW()-1))</f>
        <v>0</v>
      </c>
      <c r="G180" s="19">
        <f>IF(ROW()&lt;25,"",AVERAGE(OFFSET('Solar Power Plant Data'!H202,-23,0,24,1)))
</f>
        <v>971823.5417</v>
      </c>
      <c r="H180" s="21">
        <f>'Solar Power Plant Data'!H179/MAX('Solar Power Plant Data'!E179,0.0001)
</f>
        <v>0</v>
      </c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</row>
    <row r="181">
      <c r="A181" s="21">
        <f>HOUR('Solar Power Plant Data'!A180)</f>
        <v>10</v>
      </c>
      <c r="B181" s="21">
        <f>DAY('Solar Power Plant Data'!A180)</f>
        <v>1</v>
      </c>
      <c r="C181" s="21">
        <f>MONTH('Solar Power Plant Data'!A180)</f>
        <v>8</v>
      </c>
      <c r="D181" s="21" t="str">
        <f>TEXT('Solar Power Plant Data'!A180,"ddd")</f>
        <v>Tue</v>
      </c>
      <c r="E181" s="21">
        <f t="shared" si="1"/>
        <v>0</v>
      </c>
      <c r="F181" s="19">
        <f t="array" ref="F181">IF(ROW()&lt;25,"",INDEX('Solar Power Plant Data'!H:H,ROW()-1))</f>
        <v>0</v>
      </c>
      <c r="G181" s="19">
        <f>IF(ROW()&lt;25,"",AVERAGE(OFFSET('Solar Power Plant Data'!H203,-23,0,24,1)))
</f>
        <v>971823.5417</v>
      </c>
      <c r="H181" s="21">
        <f>'Solar Power Plant Data'!H180/MAX('Solar Power Plant Data'!E180,0.0001)
</f>
        <v>0</v>
      </c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</row>
    <row r="182">
      <c r="A182" s="21">
        <f>HOUR('Solar Power Plant Data'!A181)</f>
        <v>11</v>
      </c>
      <c r="B182" s="21">
        <f>DAY('Solar Power Plant Data'!A181)</f>
        <v>1</v>
      </c>
      <c r="C182" s="21">
        <f>MONTH('Solar Power Plant Data'!A181)</f>
        <v>8</v>
      </c>
      <c r="D182" s="21" t="str">
        <f>TEXT('Solar Power Plant Data'!A181,"ddd")</f>
        <v>Tue</v>
      </c>
      <c r="E182" s="21">
        <f t="shared" si="1"/>
        <v>0</v>
      </c>
      <c r="F182" s="19">
        <f t="array" ref="F182">IF(ROW()&lt;25,"",INDEX('Solar Power Plant Data'!H:H,ROW()-1))</f>
        <v>1418333</v>
      </c>
      <c r="G182" s="19">
        <f>IF(ROW()&lt;25,"",AVERAGE(OFFSET('Solar Power Plant Data'!H204,-23,0,24,1)))
</f>
        <v>971823.5417</v>
      </c>
      <c r="H182" s="21">
        <f>'Solar Power Plant Data'!H181/MAX('Solar Power Plant Data'!E181,0.0001)
</f>
        <v>14183330000</v>
      </c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</row>
    <row r="183">
      <c r="A183" s="21">
        <f>HOUR('Solar Power Plant Data'!A182)</f>
        <v>12</v>
      </c>
      <c r="B183" s="21">
        <f>DAY('Solar Power Plant Data'!A182)</f>
        <v>1</v>
      </c>
      <c r="C183" s="21">
        <f>MONTH('Solar Power Plant Data'!A182)</f>
        <v>8</v>
      </c>
      <c r="D183" s="21" t="str">
        <f>TEXT('Solar Power Plant Data'!A182,"ddd")</f>
        <v>Tue</v>
      </c>
      <c r="E183" s="21">
        <f t="shared" si="1"/>
        <v>0</v>
      </c>
      <c r="F183" s="19">
        <f t="array" ref="F183">IF(ROW()&lt;25,"",INDEX('Solar Power Plant Data'!H:H,ROW()-1))</f>
        <v>6998334</v>
      </c>
      <c r="G183" s="19">
        <f>IF(ROW()&lt;25,"",AVERAGE(OFFSET('Solar Power Plant Data'!H205,-23,0,24,1)))
</f>
        <v>912729.6667</v>
      </c>
      <c r="H183" s="21">
        <f>'Solar Power Plant Data'!H182/MAX('Solar Power Plant Data'!E182,0.0001)
</f>
        <v>69983340000</v>
      </c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</row>
    <row r="184">
      <c r="A184" s="21">
        <f>HOUR('Solar Power Plant Data'!A183)</f>
        <v>13</v>
      </c>
      <c r="B184" s="21">
        <f>DAY('Solar Power Plant Data'!A183)</f>
        <v>1</v>
      </c>
      <c r="C184" s="21">
        <f>MONTH('Solar Power Plant Data'!A183)</f>
        <v>8</v>
      </c>
      <c r="D184" s="21" t="str">
        <f>TEXT('Solar Power Plant Data'!A183,"ddd")</f>
        <v>Tue</v>
      </c>
      <c r="E184" s="21">
        <f t="shared" si="1"/>
        <v>0</v>
      </c>
      <c r="F184" s="19">
        <f t="array" ref="F184">IF(ROW()&lt;25,"",INDEX('Solar Power Plant Data'!H:H,ROW()-1))</f>
        <v>13841667</v>
      </c>
      <c r="G184" s="19">
        <f>IF(ROW()&lt;25,"",AVERAGE(OFFSET('Solar Power Plant Data'!H206,-23,0,24,1)))
</f>
        <v>689396.2917</v>
      </c>
      <c r="H184" s="21">
        <f>'Solar Power Plant Data'!H183/MAX('Solar Power Plant Data'!E183,0.0001)
</f>
        <v>138416670000</v>
      </c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</row>
    <row r="185">
      <c r="A185" s="21">
        <f>HOUR('Solar Power Plant Data'!A184)</f>
        <v>14</v>
      </c>
      <c r="B185" s="21">
        <f>DAY('Solar Power Plant Data'!A184)</f>
        <v>1</v>
      </c>
      <c r="C185" s="21">
        <f>MONTH('Solar Power Plant Data'!A184)</f>
        <v>8</v>
      </c>
      <c r="D185" s="21" t="str">
        <f>TEXT('Solar Power Plant Data'!A184,"ddd")</f>
        <v>Tue</v>
      </c>
      <c r="E185" s="21">
        <f t="shared" si="1"/>
        <v>0</v>
      </c>
      <c r="F185" s="19">
        <f t="array" ref="F185">IF(ROW()&lt;25,"",INDEX('Solar Power Plant Data'!H:H,ROW()-1))</f>
        <v>432</v>
      </c>
      <c r="G185" s="19">
        <f>IF(ROW()&lt;25,"",AVERAGE(OFFSET('Solar Power Plant Data'!H207,-23,0,24,1)))
</f>
        <v>112668.8333</v>
      </c>
      <c r="H185" s="21">
        <f>'Solar Power Plant Data'!H184/MAX('Solar Power Plant Data'!E184,0.0001)
</f>
        <v>4320000</v>
      </c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</row>
    <row r="186">
      <c r="A186" s="21">
        <f>HOUR('Solar Power Plant Data'!A185)</f>
        <v>15</v>
      </c>
      <c r="B186" s="21">
        <f>DAY('Solar Power Plant Data'!A185)</f>
        <v>1</v>
      </c>
      <c r="C186" s="21">
        <f>MONTH('Solar Power Plant Data'!A185)</f>
        <v>8</v>
      </c>
      <c r="D186" s="21" t="str">
        <f>TEXT('Solar Power Plant Data'!A185,"ddd")</f>
        <v>Tue</v>
      </c>
      <c r="E186" s="21">
        <f t="shared" si="1"/>
        <v>0</v>
      </c>
      <c r="F186" s="19">
        <f t="array" ref="F186">IF(ROW()&lt;25,"",INDEX('Solar Power Plant Data'!H:H,ROW()-1))</f>
        <v>1064999</v>
      </c>
      <c r="G186" s="19">
        <f>IF(ROW()&lt;25,"",AVERAGE(OFFSET('Solar Power Plant Data'!H208,-23,0,24,1)))
</f>
        <v>159525.875</v>
      </c>
      <c r="H186" s="21">
        <f>'Solar Power Plant Data'!H185/MAX('Solar Power Plant Data'!E185,0.0001)
</f>
        <v>10649990000</v>
      </c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</row>
    <row r="187">
      <c r="A187" s="21">
        <f>HOUR('Solar Power Plant Data'!A186)</f>
        <v>16</v>
      </c>
      <c r="B187" s="21">
        <f>DAY('Solar Power Plant Data'!A186)</f>
        <v>1</v>
      </c>
      <c r="C187" s="21">
        <f>MONTH('Solar Power Plant Data'!A186)</f>
        <v>8</v>
      </c>
      <c r="D187" s="21" t="str">
        <f>TEXT('Solar Power Plant Data'!A186,"ddd")</f>
        <v>Tue</v>
      </c>
      <c r="E187" s="21">
        <f t="shared" si="1"/>
        <v>0</v>
      </c>
      <c r="F187" s="19">
        <f t="array" ref="F187">IF(ROW()&lt;25,"",INDEX('Solar Power Plant Data'!H:H,ROW()-1))</f>
        <v>0</v>
      </c>
      <c r="G187" s="19">
        <f>IF(ROW()&lt;25,"",AVERAGE(OFFSET('Solar Power Plant Data'!H209,-23,0,24,1)))
</f>
        <v>115152.25</v>
      </c>
      <c r="H187" s="21">
        <f>'Solar Power Plant Data'!H186/MAX('Solar Power Plant Data'!E186,0.0001)
</f>
        <v>0</v>
      </c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</row>
    <row r="188">
      <c r="A188" s="21">
        <f>HOUR('Solar Power Plant Data'!A187)</f>
        <v>17</v>
      </c>
      <c r="B188" s="21">
        <f>DAY('Solar Power Plant Data'!A187)</f>
        <v>1</v>
      </c>
      <c r="C188" s="21">
        <f>MONTH('Solar Power Plant Data'!A187)</f>
        <v>8</v>
      </c>
      <c r="D188" s="21" t="str">
        <f>TEXT('Solar Power Plant Data'!A187,"ddd")</f>
        <v>Tue</v>
      </c>
      <c r="E188" s="21">
        <f t="shared" si="1"/>
        <v>0</v>
      </c>
      <c r="F188" s="19">
        <f t="array" ref="F188">IF(ROW()&lt;25,"",INDEX('Solar Power Plant Data'!H:H,ROW()-1))</f>
        <v>0</v>
      </c>
      <c r="G188" s="19">
        <f>IF(ROW()&lt;25,"",AVERAGE(OFFSET('Solar Power Plant Data'!H210,-23,0,24,1)))
</f>
        <v>115152.25</v>
      </c>
      <c r="H188" s="21">
        <f>'Solar Power Plant Data'!H187/MAX('Solar Power Plant Data'!E187,0.0001)
</f>
        <v>0</v>
      </c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</row>
    <row r="189">
      <c r="A189" s="21">
        <f>HOUR('Solar Power Plant Data'!A188)</f>
        <v>18</v>
      </c>
      <c r="B189" s="21">
        <f>DAY('Solar Power Plant Data'!A188)</f>
        <v>1</v>
      </c>
      <c r="C189" s="21">
        <f>MONTH('Solar Power Plant Data'!A188)</f>
        <v>8</v>
      </c>
      <c r="D189" s="21" t="str">
        <f>TEXT('Solar Power Plant Data'!A188,"ddd")</f>
        <v>Tue</v>
      </c>
      <c r="E189" s="21">
        <f t="shared" si="1"/>
        <v>0</v>
      </c>
      <c r="F189" s="19">
        <f t="array" ref="F189">IF(ROW()&lt;25,"",INDEX('Solar Power Plant Data'!H:H,ROW()-1))</f>
        <v>0</v>
      </c>
      <c r="G189" s="19">
        <f>IF(ROW()&lt;25,"",AVERAGE(OFFSET('Solar Power Plant Data'!H211,-23,0,24,1)))
</f>
        <v>115152.25</v>
      </c>
      <c r="H189" s="21">
        <f>'Solar Power Plant Data'!H188/MAX('Solar Power Plant Data'!E188,0.0001)
</f>
        <v>0</v>
      </c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</row>
    <row r="190">
      <c r="A190" s="21">
        <f>HOUR('Solar Power Plant Data'!A189)</f>
        <v>19</v>
      </c>
      <c r="B190" s="21">
        <f>DAY('Solar Power Plant Data'!A189)</f>
        <v>1</v>
      </c>
      <c r="C190" s="21">
        <f>MONTH('Solar Power Plant Data'!A189)</f>
        <v>8</v>
      </c>
      <c r="D190" s="21" t="str">
        <f>TEXT('Solar Power Plant Data'!A189,"ddd")</f>
        <v>Tue</v>
      </c>
      <c r="E190" s="21">
        <f t="shared" si="1"/>
        <v>0</v>
      </c>
      <c r="F190" s="19">
        <f t="array" ref="F190">IF(ROW()&lt;25,"",INDEX('Solar Power Plant Data'!H:H,ROW()-1))</f>
        <v>0</v>
      </c>
      <c r="G190" s="19">
        <f>IF(ROW()&lt;25,"",AVERAGE(OFFSET('Solar Power Plant Data'!H212,-23,0,24,1)))
</f>
        <v>115152.25</v>
      </c>
      <c r="H190" s="21">
        <f>'Solar Power Plant Data'!H189/MAX('Solar Power Plant Data'!E189,0.0001)
</f>
        <v>0</v>
      </c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</row>
    <row r="191">
      <c r="A191" s="21">
        <f>HOUR('Solar Power Plant Data'!A190)</f>
        <v>20</v>
      </c>
      <c r="B191" s="21">
        <f>DAY('Solar Power Plant Data'!A190)</f>
        <v>1</v>
      </c>
      <c r="C191" s="21">
        <f>MONTH('Solar Power Plant Data'!A190)</f>
        <v>8</v>
      </c>
      <c r="D191" s="21" t="str">
        <f>TEXT('Solar Power Plant Data'!A190,"ddd")</f>
        <v>Tue</v>
      </c>
      <c r="E191" s="21">
        <f t="shared" si="1"/>
        <v>0</v>
      </c>
      <c r="F191" s="19">
        <f t="array" ref="F191">IF(ROW()&lt;25,"",INDEX('Solar Power Plant Data'!H:H,ROW()-1))</f>
        <v>0</v>
      </c>
      <c r="G191" s="19">
        <f>IF(ROW()&lt;25,"",AVERAGE(OFFSET('Solar Power Plant Data'!H213,-23,0,24,1)))
</f>
        <v>115152.25</v>
      </c>
      <c r="H191" s="21">
        <f>'Solar Power Plant Data'!H190/MAX('Solar Power Plant Data'!E190,0.0001)
</f>
        <v>0</v>
      </c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</row>
    <row r="192">
      <c r="A192" s="21">
        <f>HOUR('Solar Power Plant Data'!A191)</f>
        <v>21</v>
      </c>
      <c r="B192" s="21">
        <f>DAY('Solar Power Plant Data'!A191)</f>
        <v>1</v>
      </c>
      <c r="C192" s="21">
        <f>MONTH('Solar Power Plant Data'!A191)</f>
        <v>8</v>
      </c>
      <c r="D192" s="21" t="str">
        <f>TEXT('Solar Power Plant Data'!A191,"ddd")</f>
        <v>Tue</v>
      </c>
      <c r="E192" s="21">
        <f t="shared" si="1"/>
        <v>0</v>
      </c>
      <c r="F192" s="19">
        <f t="array" ref="F192">IF(ROW()&lt;25,"",INDEX('Solar Power Plant Data'!H:H,ROW()-1))</f>
        <v>0</v>
      </c>
      <c r="G192" s="19">
        <f>IF(ROW()&lt;25,"",AVERAGE(OFFSET('Solar Power Plant Data'!H214,-23,0,24,1)))
</f>
        <v>115152.25</v>
      </c>
      <c r="H192" s="21">
        <f>'Solar Power Plant Data'!H191/MAX('Solar Power Plant Data'!E191,0.0001)
</f>
        <v>0</v>
      </c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</row>
    <row r="193">
      <c r="A193" s="21">
        <f>HOUR('Solar Power Plant Data'!A192)</f>
        <v>22</v>
      </c>
      <c r="B193" s="21">
        <f>DAY('Solar Power Plant Data'!A192)</f>
        <v>1</v>
      </c>
      <c r="C193" s="21">
        <f>MONTH('Solar Power Plant Data'!A192)</f>
        <v>8</v>
      </c>
      <c r="D193" s="21" t="str">
        <f>TEXT('Solar Power Plant Data'!A192,"ddd")</f>
        <v>Tue</v>
      </c>
      <c r="E193" s="21">
        <f t="shared" si="1"/>
        <v>0</v>
      </c>
      <c r="F193" s="19">
        <f t="array" ref="F193">IF(ROW()&lt;25,"",INDEX('Solar Power Plant Data'!H:H,ROW()-1))</f>
        <v>0</v>
      </c>
      <c r="G193" s="19">
        <f>IF(ROW()&lt;25,"",AVERAGE(OFFSET('Solar Power Plant Data'!H215,-23,0,24,1)))
</f>
        <v>115152.25</v>
      </c>
      <c r="H193" s="21">
        <f>'Solar Power Plant Data'!H192/MAX('Solar Power Plant Data'!E192,0.0001)
</f>
        <v>0</v>
      </c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</row>
    <row r="194">
      <c r="A194" s="21">
        <f>HOUR('Solar Power Plant Data'!A193)</f>
        <v>23</v>
      </c>
      <c r="B194" s="21">
        <f>DAY('Solar Power Plant Data'!A193)</f>
        <v>1</v>
      </c>
      <c r="C194" s="21">
        <f>MONTH('Solar Power Plant Data'!A193)</f>
        <v>8</v>
      </c>
      <c r="D194" s="21" t="str">
        <f>TEXT('Solar Power Plant Data'!A193,"ddd")</f>
        <v>Tue</v>
      </c>
      <c r="E194" s="21">
        <f t="shared" si="1"/>
        <v>0</v>
      </c>
      <c r="F194" s="19">
        <f t="array" ref="F194">IF(ROW()&lt;25,"",INDEX('Solar Power Plant Data'!H:H,ROW()-1))</f>
        <v>0</v>
      </c>
      <c r="G194" s="19">
        <f>IF(ROW()&lt;25,"",AVERAGE(OFFSET('Solar Power Plant Data'!H216,-23,0,24,1)))
</f>
        <v>115152.25</v>
      </c>
      <c r="H194" s="21">
        <f>'Solar Power Plant Data'!H193/MAX('Solar Power Plant Data'!E193,0.0001)
</f>
        <v>0</v>
      </c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</row>
    <row r="195">
      <c r="A195" s="21">
        <f>HOUR('Solar Power Plant Data'!A194)</f>
        <v>0</v>
      </c>
      <c r="B195" s="21">
        <f>DAY('Solar Power Plant Data'!A194)</f>
        <v>1</v>
      </c>
      <c r="C195" s="21">
        <f>MONTH('Solar Power Plant Data'!A194)</f>
        <v>9</v>
      </c>
      <c r="D195" s="21" t="str">
        <f>TEXT('Solar Power Plant Data'!A194,"ddd")</f>
        <v>Fri</v>
      </c>
      <c r="E195" s="21">
        <f t="shared" si="1"/>
        <v>0</v>
      </c>
      <c r="F195" s="19">
        <f t="array" ref="F195">IF(ROW()&lt;25,"",INDEX('Solar Power Plant Data'!H:H,ROW()-1))</f>
        <v>0</v>
      </c>
      <c r="G195" s="19">
        <f>IF(ROW()&lt;25,"",AVERAGE(OFFSET('Solar Power Plant Data'!H217,-23,0,24,1)))
</f>
        <v>115152.25</v>
      </c>
      <c r="H195" s="21">
        <f>'Solar Power Plant Data'!H194/MAX('Solar Power Plant Data'!E194,0.0001)
</f>
        <v>0</v>
      </c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</row>
    <row r="196">
      <c r="A196" s="21">
        <f>HOUR('Solar Power Plant Data'!A195)</f>
        <v>1</v>
      </c>
      <c r="B196" s="21">
        <f>DAY('Solar Power Plant Data'!A195)</f>
        <v>1</v>
      </c>
      <c r="C196" s="21">
        <f>MONTH('Solar Power Plant Data'!A195)</f>
        <v>9</v>
      </c>
      <c r="D196" s="21" t="str">
        <f>TEXT('Solar Power Plant Data'!A195,"ddd")</f>
        <v>Fri</v>
      </c>
      <c r="E196" s="21">
        <f t="shared" si="1"/>
        <v>0</v>
      </c>
      <c r="F196" s="19">
        <f t="array" ref="F196">IF(ROW()&lt;25,"",INDEX('Solar Power Plant Data'!H:H,ROW()-1))</f>
        <v>0</v>
      </c>
      <c r="G196" s="19">
        <f>IF(ROW()&lt;25,"",AVERAGE(OFFSET('Solar Power Plant Data'!H218,-23,0,24,1)))
</f>
        <v>115152.25</v>
      </c>
      <c r="H196" s="21">
        <f>'Solar Power Plant Data'!H195/MAX('Solar Power Plant Data'!E195,0.0001)
</f>
        <v>0</v>
      </c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</row>
    <row r="197">
      <c r="A197" s="21">
        <f>HOUR('Solar Power Plant Data'!A196)</f>
        <v>2</v>
      </c>
      <c r="B197" s="21">
        <f>DAY('Solar Power Plant Data'!A196)</f>
        <v>1</v>
      </c>
      <c r="C197" s="21">
        <f>MONTH('Solar Power Plant Data'!A196)</f>
        <v>9</v>
      </c>
      <c r="D197" s="21" t="str">
        <f>TEXT('Solar Power Plant Data'!A196,"ddd")</f>
        <v>Fri</v>
      </c>
      <c r="E197" s="21">
        <f t="shared" si="1"/>
        <v>0</v>
      </c>
      <c r="F197" s="19">
        <f t="array" ref="F197">IF(ROW()&lt;25,"",INDEX('Solar Power Plant Data'!H:H,ROW()-1))</f>
        <v>0</v>
      </c>
      <c r="G197" s="19">
        <f>IF(ROW()&lt;25,"",AVERAGE(OFFSET('Solar Power Plant Data'!H219,-23,0,24,1)))
</f>
        <v>115152.25</v>
      </c>
      <c r="H197" s="21">
        <f>'Solar Power Plant Data'!H196/MAX('Solar Power Plant Data'!E196,0.0001)
</f>
        <v>0</v>
      </c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</row>
    <row r="198">
      <c r="A198" s="21">
        <f>HOUR('Solar Power Plant Data'!A197)</f>
        <v>3</v>
      </c>
      <c r="B198" s="21">
        <f>DAY('Solar Power Plant Data'!A197)</f>
        <v>1</v>
      </c>
      <c r="C198" s="21">
        <f>MONTH('Solar Power Plant Data'!A197)</f>
        <v>9</v>
      </c>
      <c r="D198" s="21" t="str">
        <f>TEXT('Solar Power Plant Data'!A197,"ddd")</f>
        <v>Fri</v>
      </c>
      <c r="E198" s="21">
        <f t="shared" si="1"/>
        <v>0</v>
      </c>
      <c r="F198" s="19">
        <f t="array" ref="F198">IF(ROW()&lt;25,"",INDEX('Solar Power Plant Data'!H:H,ROW()-1))</f>
        <v>0</v>
      </c>
      <c r="G198" s="19">
        <f>IF(ROW()&lt;25,"",AVERAGE(OFFSET('Solar Power Plant Data'!H220,-23,0,24,1)))
</f>
        <v>115152.25</v>
      </c>
      <c r="H198" s="21">
        <f>'Solar Power Plant Data'!H197/MAX('Solar Power Plant Data'!E197,0.0001)
</f>
        <v>0</v>
      </c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</row>
    <row r="199">
      <c r="A199" s="21">
        <f>HOUR('Solar Power Plant Data'!A198)</f>
        <v>4</v>
      </c>
      <c r="B199" s="21">
        <f>DAY('Solar Power Plant Data'!A198)</f>
        <v>1</v>
      </c>
      <c r="C199" s="21">
        <f>MONTH('Solar Power Plant Data'!A198)</f>
        <v>9</v>
      </c>
      <c r="D199" s="21" t="str">
        <f>TEXT('Solar Power Plant Data'!A198,"ddd")</f>
        <v>Fri</v>
      </c>
      <c r="E199" s="21">
        <f t="shared" si="1"/>
        <v>0</v>
      </c>
      <c r="F199" s="19">
        <f t="array" ref="F199">IF(ROW()&lt;25,"",INDEX('Solar Power Plant Data'!H:H,ROW()-1))</f>
        <v>0</v>
      </c>
      <c r="G199" s="19">
        <f>IF(ROW()&lt;25,"",AVERAGE(OFFSET('Solar Power Plant Data'!H221,-23,0,24,1)))
</f>
        <v>115152.25</v>
      </c>
      <c r="H199" s="21">
        <f>'Solar Power Plant Data'!H198/MAX('Solar Power Plant Data'!E198,0.0001)
</f>
        <v>0</v>
      </c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</row>
    <row r="200">
      <c r="A200" s="21">
        <f>HOUR('Solar Power Plant Data'!A199)</f>
        <v>5</v>
      </c>
      <c r="B200" s="21">
        <f>DAY('Solar Power Plant Data'!A199)</f>
        <v>1</v>
      </c>
      <c r="C200" s="21">
        <f>MONTH('Solar Power Plant Data'!A199)</f>
        <v>9</v>
      </c>
      <c r="D200" s="21" t="str">
        <f>TEXT('Solar Power Plant Data'!A199,"ddd")</f>
        <v>Fri</v>
      </c>
      <c r="E200" s="21">
        <f t="shared" si="1"/>
        <v>0</v>
      </c>
      <c r="F200" s="19">
        <f t="array" ref="F200">IF(ROW()&lt;25,"",INDEX('Solar Power Plant Data'!H:H,ROW()-1))</f>
        <v>0</v>
      </c>
      <c r="G200" s="19">
        <f>IF(ROW()&lt;25,"",AVERAGE(OFFSET('Solar Power Plant Data'!H222,-23,0,24,1)))
</f>
        <v>115152.25</v>
      </c>
      <c r="H200" s="21">
        <f>'Solar Power Plant Data'!H199/MAX('Solar Power Plant Data'!E199,0.0001)
</f>
        <v>0</v>
      </c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</row>
    <row r="201">
      <c r="A201" s="21">
        <f>HOUR('Solar Power Plant Data'!A200)</f>
        <v>6</v>
      </c>
      <c r="B201" s="21">
        <f>DAY('Solar Power Plant Data'!A200)</f>
        <v>1</v>
      </c>
      <c r="C201" s="21">
        <f>MONTH('Solar Power Plant Data'!A200)</f>
        <v>9</v>
      </c>
      <c r="D201" s="21" t="str">
        <f>TEXT('Solar Power Plant Data'!A200,"ddd")</f>
        <v>Fri</v>
      </c>
      <c r="E201" s="21">
        <f t="shared" si="1"/>
        <v>0</v>
      </c>
      <c r="F201" s="19">
        <f t="array" ref="F201">IF(ROW()&lt;25,"",INDEX('Solar Power Plant Data'!H:H,ROW()-1))</f>
        <v>0</v>
      </c>
      <c r="G201" s="19">
        <f>IF(ROW()&lt;25,"",AVERAGE(OFFSET('Solar Power Plant Data'!H223,-23,0,24,1)))
</f>
        <v>115152.25</v>
      </c>
      <c r="H201" s="21">
        <f>'Solar Power Plant Data'!H200/MAX('Solar Power Plant Data'!E200,0.0001)
</f>
        <v>0</v>
      </c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</row>
    <row r="202">
      <c r="A202" s="21">
        <f>HOUR('Solar Power Plant Data'!A201)</f>
        <v>7</v>
      </c>
      <c r="B202" s="21">
        <f>DAY('Solar Power Plant Data'!A201)</f>
        <v>1</v>
      </c>
      <c r="C202" s="21">
        <f>MONTH('Solar Power Plant Data'!A201)</f>
        <v>9</v>
      </c>
      <c r="D202" s="21" t="str">
        <f>TEXT('Solar Power Plant Data'!A201,"ddd")</f>
        <v>Fri</v>
      </c>
      <c r="E202" s="21">
        <f t="shared" si="1"/>
        <v>0</v>
      </c>
      <c r="F202" s="19">
        <f t="array" ref="F202">IF(ROW()&lt;25,"",INDEX('Solar Power Plant Data'!H:H,ROW()-1))</f>
        <v>0</v>
      </c>
      <c r="G202" s="19">
        <f>IF(ROW()&lt;25,"",AVERAGE(OFFSET('Solar Power Plant Data'!H224,-23,0,24,1)))
</f>
        <v>115152.25</v>
      </c>
      <c r="H202" s="21">
        <f>'Solar Power Plant Data'!H201/MAX('Solar Power Plant Data'!E201,0.0001)
</f>
        <v>0</v>
      </c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</row>
    <row r="203">
      <c r="A203" s="21">
        <f>HOUR('Solar Power Plant Data'!A202)</f>
        <v>8</v>
      </c>
      <c r="B203" s="21">
        <f>DAY('Solar Power Plant Data'!A202)</f>
        <v>1</v>
      </c>
      <c r="C203" s="21">
        <f>MONTH('Solar Power Plant Data'!A202)</f>
        <v>9</v>
      </c>
      <c r="D203" s="21" t="str">
        <f>TEXT('Solar Power Plant Data'!A202,"ddd")</f>
        <v>Fri</v>
      </c>
      <c r="E203" s="21">
        <f t="shared" si="1"/>
        <v>0</v>
      </c>
      <c r="F203" s="19">
        <f t="array" ref="F203">IF(ROW()&lt;25,"",INDEX('Solar Power Plant Data'!H:H,ROW()-1))</f>
        <v>0</v>
      </c>
      <c r="G203" s="19">
        <f>IF(ROW()&lt;25,"",AVERAGE(OFFSET('Solar Power Plant Data'!H225,-23,0,24,1)))
</f>
        <v>115152.25</v>
      </c>
      <c r="H203" s="21">
        <f>'Solar Power Plant Data'!H202/MAX('Solar Power Plant Data'!E202,0.0001)
</f>
        <v>0</v>
      </c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</row>
    <row r="204">
      <c r="A204" s="21">
        <f>HOUR('Solar Power Plant Data'!A203)</f>
        <v>9</v>
      </c>
      <c r="B204" s="21">
        <f>DAY('Solar Power Plant Data'!A203)</f>
        <v>1</v>
      </c>
      <c r="C204" s="21">
        <f>MONTH('Solar Power Plant Data'!A203)</f>
        <v>9</v>
      </c>
      <c r="D204" s="21" t="str">
        <f>TEXT('Solar Power Plant Data'!A203,"ddd")</f>
        <v>Fri</v>
      </c>
      <c r="E204" s="21">
        <f t="shared" si="1"/>
        <v>0</v>
      </c>
      <c r="F204" s="19">
        <f t="array" ref="F204">IF(ROW()&lt;25,"",INDEX('Solar Power Plant Data'!H:H,ROW()-1))</f>
        <v>0</v>
      </c>
      <c r="G204" s="19">
        <f>IF(ROW()&lt;25,"",AVERAGE(OFFSET('Solar Power Plant Data'!H226,-23,0,24,1)))
</f>
        <v>115152.25</v>
      </c>
      <c r="H204" s="21">
        <f>'Solar Power Plant Data'!H203/MAX('Solar Power Plant Data'!E203,0.0001)
</f>
        <v>0</v>
      </c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</row>
    <row r="205">
      <c r="A205" s="21">
        <f>HOUR('Solar Power Plant Data'!A204)</f>
        <v>10</v>
      </c>
      <c r="B205" s="21">
        <f>DAY('Solar Power Plant Data'!A204)</f>
        <v>1</v>
      </c>
      <c r="C205" s="21">
        <f>MONTH('Solar Power Plant Data'!A204)</f>
        <v>9</v>
      </c>
      <c r="D205" s="21" t="str">
        <f>TEXT('Solar Power Plant Data'!A204,"ddd")</f>
        <v>Fri</v>
      </c>
      <c r="E205" s="21">
        <f t="shared" si="1"/>
        <v>0</v>
      </c>
      <c r="F205" s="19">
        <f t="array" ref="F205">IF(ROW()&lt;25,"",INDEX('Solar Power Plant Data'!H:H,ROW()-1))</f>
        <v>0</v>
      </c>
      <c r="G205" s="19">
        <f>IF(ROW()&lt;25,"",AVERAGE(OFFSET('Solar Power Plant Data'!H227,-23,0,24,1)))
</f>
        <v>115152.25</v>
      </c>
      <c r="H205" s="21">
        <f>'Solar Power Plant Data'!H204/MAX('Solar Power Plant Data'!E204,0.0001)
</f>
        <v>0</v>
      </c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</row>
    <row r="206">
      <c r="A206" s="21">
        <f>HOUR('Solar Power Plant Data'!A205)</f>
        <v>11</v>
      </c>
      <c r="B206" s="21">
        <f>DAY('Solar Power Plant Data'!A205)</f>
        <v>1</v>
      </c>
      <c r="C206" s="21">
        <f>MONTH('Solar Power Plant Data'!A205)</f>
        <v>9</v>
      </c>
      <c r="D206" s="21" t="str">
        <f>TEXT('Solar Power Plant Data'!A205,"ddd")</f>
        <v>Fri</v>
      </c>
      <c r="E206" s="21">
        <f t="shared" si="1"/>
        <v>0</v>
      </c>
      <c r="F206" s="19">
        <f t="array" ref="F206">IF(ROW()&lt;25,"",INDEX('Solar Power Plant Data'!H:H,ROW()-1))</f>
        <v>80</v>
      </c>
      <c r="G206" s="19">
        <f>IF(ROW()&lt;25,"",AVERAGE(OFFSET('Solar Power Plant Data'!H228,-23,0,24,1)))
</f>
        <v>115152.25</v>
      </c>
      <c r="H206" s="21">
        <f>'Solar Power Plant Data'!H205/MAX('Solar Power Plant Data'!E205,0.0001)
</f>
        <v>800000</v>
      </c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</row>
    <row r="207">
      <c r="A207" s="21">
        <f>HOUR('Solar Power Plant Data'!A206)</f>
        <v>12</v>
      </c>
      <c r="B207" s="21">
        <f>DAY('Solar Power Plant Data'!A206)</f>
        <v>1</v>
      </c>
      <c r="C207" s="21">
        <f>MONTH('Solar Power Plant Data'!A206)</f>
        <v>9</v>
      </c>
      <c r="D207" s="21" t="str">
        <f>TEXT('Solar Power Plant Data'!A206,"ddd")</f>
        <v>Fri</v>
      </c>
      <c r="E207" s="21">
        <f t="shared" si="1"/>
        <v>0</v>
      </c>
      <c r="F207" s="19">
        <f t="array" ref="F207">IF(ROW()&lt;25,"",INDEX('Solar Power Plant Data'!H:H,ROW()-1))</f>
        <v>1638333</v>
      </c>
      <c r="G207" s="19">
        <f>IF(ROW()&lt;25,"",AVERAGE(OFFSET('Solar Power Plant Data'!H229,-23,0,24,1)))
</f>
        <v>390357.2083</v>
      </c>
      <c r="H207" s="21">
        <f>'Solar Power Plant Data'!H206/MAX('Solar Power Plant Data'!E206,0.0001)
</f>
        <v>16383330000</v>
      </c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</row>
    <row r="208">
      <c r="A208" s="21">
        <f>HOUR('Solar Power Plant Data'!A207)</f>
        <v>13</v>
      </c>
      <c r="B208" s="21">
        <f>DAY('Solar Power Plant Data'!A207)</f>
        <v>1</v>
      </c>
      <c r="C208" s="21">
        <f>MONTH('Solar Power Plant Data'!A207)</f>
        <v>9</v>
      </c>
      <c r="D208" s="21" t="str">
        <f>TEXT('Solar Power Plant Data'!A207,"ddd")</f>
        <v>Fri</v>
      </c>
      <c r="E208" s="21">
        <f t="shared" si="1"/>
        <v>0</v>
      </c>
      <c r="F208" s="19">
        <f t="array" ref="F208">IF(ROW()&lt;25,"",INDEX('Solar Power Plant Data'!H:H,ROW()-1))</f>
        <v>208</v>
      </c>
      <c r="G208" s="19">
        <f>IF(ROW()&lt;25,"",AVERAGE(OFFSET('Solar Power Plant Data'!H230,-23,0,24,1)))
</f>
        <v>487579.4583</v>
      </c>
      <c r="H208" s="21">
        <f>'Solar Power Plant Data'!H207/MAX('Solar Power Plant Data'!E207,0.0001)
</f>
        <v>2080000</v>
      </c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</row>
    <row r="209">
      <c r="A209" s="21">
        <f>HOUR('Solar Power Plant Data'!A208)</f>
        <v>14</v>
      </c>
      <c r="B209" s="21">
        <f>DAY('Solar Power Plant Data'!A208)</f>
        <v>1</v>
      </c>
      <c r="C209" s="21">
        <f>MONTH('Solar Power Plant Data'!A208)</f>
        <v>9</v>
      </c>
      <c r="D209" s="21" t="str">
        <f>TEXT('Solar Power Plant Data'!A208,"ddd")</f>
        <v>Fri</v>
      </c>
      <c r="E209" s="21">
        <f t="shared" si="1"/>
        <v>0</v>
      </c>
      <c r="F209" s="19">
        <f t="array" ref="F209">IF(ROW()&lt;25,"",INDEX('Solar Power Plant Data'!H:H,ROW()-1))</f>
        <v>1125001</v>
      </c>
      <c r="G209" s="19">
        <f>IF(ROW()&lt;25,"",AVERAGE(OFFSET('Solar Power Plant Data'!H231,-23,0,24,1)))
</f>
        <v>610973.5833</v>
      </c>
      <c r="H209" s="21">
        <f>'Solar Power Plant Data'!H208/MAX('Solar Power Plant Data'!E208,0.0001)
</f>
        <v>11250010000</v>
      </c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</row>
    <row r="210">
      <c r="A210" s="21">
        <f>HOUR('Solar Power Plant Data'!A209)</f>
        <v>15</v>
      </c>
      <c r="B210" s="21">
        <f>DAY('Solar Power Plant Data'!A209)</f>
        <v>1</v>
      </c>
      <c r="C210" s="21">
        <f>MONTH('Solar Power Plant Data'!A209)</f>
        <v>9</v>
      </c>
      <c r="D210" s="21" t="str">
        <f>TEXT('Solar Power Plant Data'!A209,"ddd")</f>
        <v>Fri</v>
      </c>
      <c r="E210" s="21">
        <f t="shared" si="1"/>
        <v>0</v>
      </c>
      <c r="F210" s="19">
        <f t="array" ref="F210">IF(ROW()&lt;25,"",INDEX('Solar Power Plant Data'!H:H,ROW()-1))</f>
        <v>32</v>
      </c>
      <c r="G210" s="19">
        <f>IF(ROW()&lt;25,"",AVERAGE(OFFSET('Solar Power Plant Data'!H232,-23,0,24,1)))
</f>
        <v>631876.3333</v>
      </c>
      <c r="H210" s="21">
        <f>'Solar Power Plant Data'!H209/MAX('Solar Power Plant Data'!E209,0.0001)
</f>
        <v>320000</v>
      </c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</row>
    <row r="211">
      <c r="A211" s="21">
        <f>HOUR('Solar Power Plant Data'!A210)</f>
        <v>16</v>
      </c>
      <c r="B211" s="21">
        <f>DAY('Solar Power Plant Data'!A210)</f>
        <v>1</v>
      </c>
      <c r="C211" s="21">
        <f>MONTH('Solar Power Plant Data'!A210)</f>
        <v>9</v>
      </c>
      <c r="D211" s="21" t="str">
        <f>TEXT('Solar Power Plant Data'!A210,"ddd")</f>
        <v>Fri</v>
      </c>
      <c r="E211" s="21">
        <f t="shared" si="1"/>
        <v>0</v>
      </c>
      <c r="F211" s="19">
        <f t="array" ref="F211">IF(ROW()&lt;25,"",INDEX('Solar Power Plant Data'!H:H,ROW()-1))</f>
        <v>0</v>
      </c>
      <c r="G211" s="19">
        <f>IF(ROW()&lt;25,"",AVERAGE(OFFSET('Solar Power Plant Data'!H233,-23,0,24,1)))
</f>
        <v>631875.5</v>
      </c>
      <c r="H211" s="21">
        <f>'Solar Power Plant Data'!H210/MAX('Solar Power Plant Data'!E210,0.0001)
</f>
        <v>0</v>
      </c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</row>
    <row r="212">
      <c r="A212" s="21">
        <f>HOUR('Solar Power Plant Data'!A211)</f>
        <v>17</v>
      </c>
      <c r="B212" s="21">
        <f>DAY('Solar Power Plant Data'!A211)</f>
        <v>1</v>
      </c>
      <c r="C212" s="21">
        <f>MONTH('Solar Power Plant Data'!A211)</f>
        <v>9</v>
      </c>
      <c r="D212" s="21" t="str">
        <f>TEXT('Solar Power Plant Data'!A211,"ddd")</f>
        <v>Fri</v>
      </c>
      <c r="E212" s="21">
        <f t="shared" si="1"/>
        <v>0</v>
      </c>
      <c r="F212" s="19">
        <f t="array" ref="F212">IF(ROW()&lt;25,"",INDEX('Solar Power Plant Data'!H:H,ROW()-1))</f>
        <v>0</v>
      </c>
      <c r="G212" s="19">
        <f>IF(ROW()&lt;25,"",AVERAGE(OFFSET('Solar Power Plant Data'!H234,-23,0,24,1)))
</f>
        <v>631875.5</v>
      </c>
      <c r="H212" s="21">
        <f>'Solar Power Plant Data'!H211/MAX('Solar Power Plant Data'!E211,0.0001)
</f>
        <v>0</v>
      </c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</row>
    <row r="213">
      <c r="A213" s="21">
        <f>HOUR('Solar Power Plant Data'!A212)</f>
        <v>18</v>
      </c>
      <c r="B213" s="21">
        <f>DAY('Solar Power Plant Data'!A212)</f>
        <v>1</v>
      </c>
      <c r="C213" s="21">
        <f>MONTH('Solar Power Plant Data'!A212)</f>
        <v>9</v>
      </c>
      <c r="D213" s="21" t="str">
        <f>TEXT('Solar Power Plant Data'!A212,"ddd")</f>
        <v>Fri</v>
      </c>
      <c r="E213" s="21">
        <f t="shared" si="1"/>
        <v>0</v>
      </c>
      <c r="F213" s="19">
        <f t="array" ref="F213">IF(ROW()&lt;25,"",INDEX('Solar Power Plant Data'!H:H,ROW()-1))</f>
        <v>0</v>
      </c>
      <c r="G213" s="19">
        <f>IF(ROW()&lt;25,"",AVERAGE(OFFSET('Solar Power Plant Data'!H235,-23,0,24,1)))
</f>
        <v>631875.5</v>
      </c>
      <c r="H213" s="21">
        <f>'Solar Power Plant Data'!H212/MAX('Solar Power Plant Data'!E212,0.0001)
</f>
        <v>0</v>
      </c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</row>
    <row r="214">
      <c r="A214" s="21">
        <f>HOUR('Solar Power Plant Data'!A213)</f>
        <v>19</v>
      </c>
      <c r="B214" s="21">
        <f>DAY('Solar Power Plant Data'!A213)</f>
        <v>1</v>
      </c>
      <c r="C214" s="21">
        <f>MONTH('Solar Power Plant Data'!A213)</f>
        <v>9</v>
      </c>
      <c r="D214" s="21" t="str">
        <f>TEXT('Solar Power Plant Data'!A213,"ddd")</f>
        <v>Fri</v>
      </c>
      <c r="E214" s="21">
        <f t="shared" si="1"/>
        <v>0</v>
      </c>
      <c r="F214" s="19">
        <f t="array" ref="F214">IF(ROW()&lt;25,"",INDEX('Solar Power Plant Data'!H:H,ROW()-1))</f>
        <v>0</v>
      </c>
      <c r="G214" s="19">
        <f>IF(ROW()&lt;25,"",AVERAGE(OFFSET('Solar Power Plant Data'!H236,-23,0,24,1)))
</f>
        <v>631875.5</v>
      </c>
      <c r="H214" s="21">
        <f>'Solar Power Plant Data'!H213/MAX('Solar Power Plant Data'!E213,0.0001)
</f>
        <v>0</v>
      </c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</row>
    <row r="215">
      <c r="A215" s="21">
        <f>HOUR('Solar Power Plant Data'!A214)</f>
        <v>20</v>
      </c>
      <c r="B215" s="21">
        <f>DAY('Solar Power Plant Data'!A214)</f>
        <v>1</v>
      </c>
      <c r="C215" s="21">
        <f>MONTH('Solar Power Plant Data'!A214)</f>
        <v>9</v>
      </c>
      <c r="D215" s="21" t="str">
        <f>TEXT('Solar Power Plant Data'!A214,"ddd")</f>
        <v>Fri</v>
      </c>
      <c r="E215" s="21">
        <f t="shared" si="1"/>
        <v>0</v>
      </c>
      <c r="F215" s="19">
        <f t="array" ref="F215">IF(ROW()&lt;25,"",INDEX('Solar Power Plant Data'!H:H,ROW()-1))</f>
        <v>0</v>
      </c>
      <c r="G215" s="19">
        <f>IF(ROW()&lt;25,"",AVERAGE(OFFSET('Solar Power Plant Data'!H237,-23,0,24,1)))
</f>
        <v>631875.5</v>
      </c>
      <c r="H215" s="21">
        <f>'Solar Power Plant Data'!H214/MAX('Solar Power Plant Data'!E214,0.0001)
</f>
        <v>0</v>
      </c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</row>
    <row r="216">
      <c r="A216" s="21">
        <f>HOUR('Solar Power Plant Data'!A215)</f>
        <v>21</v>
      </c>
      <c r="B216" s="21">
        <f>DAY('Solar Power Plant Data'!A215)</f>
        <v>1</v>
      </c>
      <c r="C216" s="21">
        <f>MONTH('Solar Power Plant Data'!A215)</f>
        <v>9</v>
      </c>
      <c r="D216" s="21" t="str">
        <f>TEXT('Solar Power Plant Data'!A215,"ddd")</f>
        <v>Fri</v>
      </c>
      <c r="E216" s="21">
        <f t="shared" si="1"/>
        <v>0</v>
      </c>
      <c r="F216" s="19">
        <f t="array" ref="F216">IF(ROW()&lt;25,"",INDEX('Solar Power Plant Data'!H:H,ROW()-1))</f>
        <v>0</v>
      </c>
      <c r="G216" s="19">
        <f>IF(ROW()&lt;25,"",AVERAGE(OFFSET('Solar Power Plant Data'!H238,-23,0,24,1)))
</f>
        <v>631875.5</v>
      </c>
      <c r="H216" s="21">
        <f>'Solar Power Plant Data'!H215/MAX('Solar Power Plant Data'!E215,0.0001)
</f>
        <v>0</v>
      </c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</row>
    <row r="217">
      <c r="A217" s="21">
        <f>HOUR('Solar Power Plant Data'!A216)</f>
        <v>22</v>
      </c>
      <c r="B217" s="21">
        <f>DAY('Solar Power Plant Data'!A216)</f>
        <v>1</v>
      </c>
      <c r="C217" s="21">
        <f>MONTH('Solar Power Plant Data'!A216)</f>
        <v>9</v>
      </c>
      <c r="D217" s="21" t="str">
        <f>TEXT('Solar Power Plant Data'!A216,"ddd")</f>
        <v>Fri</v>
      </c>
      <c r="E217" s="21">
        <f t="shared" si="1"/>
        <v>0</v>
      </c>
      <c r="F217" s="19">
        <f t="array" ref="F217">IF(ROW()&lt;25,"",INDEX('Solar Power Plant Data'!H:H,ROW()-1))</f>
        <v>0</v>
      </c>
      <c r="G217" s="19">
        <f>IF(ROW()&lt;25,"",AVERAGE(OFFSET('Solar Power Plant Data'!H239,-23,0,24,1)))
</f>
        <v>631875.5</v>
      </c>
      <c r="H217" s="21">
        <f>'Solar Power Plant Data'!H216/MAX('Solar Power Plant Data'!E216,0.0001)
</f>
        <v>0</v>
      </c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</row>
    <row r="218">
      <c r="A218" s="21">
        <f>HOUR('Solar Power Plant Data'!A217)</f>
        <v>23</v>
      </c>
      <c r="B218" s="21">
        <f>DAY('Solar Power Plant Data'!A217)</f>
        <v>1</v>
      </c>
      <c r="C218" s="21">
        <f>MONTH('Solar Power Plant Data'!A217)</f>
        <v>9</v>
      </c>
      <c r="D218" s="21" t="str">
        <f>TEXT('Solar Power Plant Data'!A217,"ddd")</f>
        <v>Fri</v>
      </c>
      <c r="E218" s="21">
        <f t="shared" si="1"/>
        <v>0</v>
      </c>
      <c r="F218" s="19">
        <f t="array" ref="F218">IF(ROW()&lt;25,"",INDEX('Solar Power Plant Data'!H:H,ROW()-1))</f>
        <v>0</v>
      </c>
      <c r="G218" s="19">
        <f>IF(ROW()&lt;25,"",AVERAGE(OFFSET('Solar Power Plant Data'!H240,-23,0,24,1)))
</f>
        <v>631875.5</v>
      </c>
      <c r="H218" s="21">
        <f>'Solar Power Plant Data'!H217/MAX('Solar Power Plant Data'!E217,0.0001)
</f>
        <v>0</v>
      </c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</row>
    <row r="219">
      <c r="A219" s="21">
        <f>HOUR('Solar Power Plant Data'!A218)</f>
        <v>0</v>
      </c>
      <c r="B219" s="21">
        <f>DAY('Solar Power Plant Data'!A218)</f>
        <v>1</v>
      </c>
      <c r="C219" s="21">
        <f>MONTH('Solar Power Plant Data'!A218)</f>
        <v>10</v>
      </c>
      <c r="D219" s="21" t="str">
        <f>TEXT('Solar Power Plant Data'!A218,"ddd")</f>
        <v>Sun</v>
      </c>
      <c r="E219" s="21">
        <f t="shared" si="1"/>
        <v>1</v>
      </c>
      <c r="F219" s="19">
        <f t="array" ref="F219">IF(ROW()&lt;25,"",INDEX('Solar Power Plant Data'!H:H,ROW()-1))</f>
        <v>0</v>
      </c>
      <c r="G219" s="19">
        <f>IF(ROW()&lt;25,"",AVERAGE(OFFSET('Solar Power Plant Data'!H241,-23,0,24,1)))
</f>
        <v>631875.5</v>
      </c>
      <c r="H219" s="21">
        <f>'Solar Power Plant Data'!H218/MAX('Solar Power Plant Data'!E218,0.0001)
</f>
        <v>0</v>
      </c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</row>
    <row r="220">
      <c r="A220" s="21">
        <f>HOUR('Solar Power Plant Data'!A219)</f>
        <v>1</v>
      </c>
      <c r="B220" s="21">
        <f>DAY('Solar Power Plant Data'!A219)</f>
        <v>1</v>
      </c>
      <c r="C220" s="21">
        <f>MONTH('Solar Power Plant Data'!A219)</f>
        <v>10</v>
      </c>
      <c r="D220" s="21" t="str">
        <f>TEXT('Solar Power Plant Data'!A219,"ddd")</f>
        <v>Sun</v>
      </c>
      <c r="E220" s="21">
        <f t="shared" si="1"/>
        <v>1</v>
      </c>
      <c r="F220" s="19">
        <f t="array" ref="F220">IF(ROW()&lt;25,"",INDEX('Solar Power Plant Data'!H:H,ROW()-1))</f>
        <v>0</v>
      </c>
      <c r="G220" s="19">
        <f>IF(ROW()&lt;25,"",AVERAGE(OFFSET('Solar Power Plant Data'!H242,-23,0,24,1)))
</f>
        <v>631875.5</v>
      </c>
      <c r="H220" s="21">
        <f>'Solar Power Plant Data'!H219/MAX('Solar Power Plant Data'!E219,0.0001)
</f>
        <v>0</v>
      </c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</row>
    <row r="221">
      <c r="A221" s="21">
        <f>HOUR('Solar Power Plant Data'!A220)</f>
        <v>2</v>
      </c>
      <c r="B221" s="21">
        <f>DAY('Solar Power Plant Data'!A220)</f>
        <v>1</v>
      </c>
      <c r="C221" s="21">
        <f>MONTH('Solar Power Plant Data'!A220)</f>
        <v>10</v>
      </c>
      <c r="D221" s="21" t="str">
        <f>TEXT('Solar Power Plant Data'!A220,"ddd")</f>
        <v>Sun</v>
      </c>
      <c r="E221" s="21">
        <f t="shared" si="1"/>
        <v>1</v>
      </c>
      <c r="F221" s="19">
        <f t="array" ref="F221">IF(ROW()&lt;25,"",INDEX('Solar Power Plant Data'!H:H,ROW()-1))</f>
        <v>0</v>
      </c>
      <c r="G221" s="19">
        <f>IF(ROW()&lt;25,"",AVERAGE(OFFSET('Solar Power Plant Data'!H243,-23,0,24,1)))
</f>
        <v>631875.5</v>
      </c>
      <c r="H221" s="21">
        <f>'Solar Power Plant Data'!H220/MAX('Solar Power Plant Data'!E220,0.0001)
</f>
        <v>0</v>
      </c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</row>
    <row r="222">
      <c r="A222" s="21">
        <f>HOUR('Solar Power Plant Data'!A221)</f>
        <v>3</v>
      </c>
      <c r="B222" s="21">
        <f>DAY('Solar Power Plant Data'!A221)</f>
        <v>1</v>
      </c>
      <c r="C222" s="21">
        <f>MONTH('Solar Power Plant Data'!A221)</f>
        <v>10</v>
      </c>
      <c r="D222" s="21" t="str">
        <f>TEXT('Solar Power Plant Data'!A221,"ddd")</f>
        <v>Sun</v>
      </c>
      <c r="E222" s="21">
        <f t="shared" si="1"/>
        <v>1</v>
      </c>
      <c r="F222" s="19">
        <f t="array" ref="F222">IF(ROW()&lt;25,"",INDEX('Solar Power Plant Data'!H:H,ROW()-1))</f>
        <v>0</v>
      </c>
      <c r="G222" s="19">
        <f>IF(ROW()&lt;25,"",AVERAGE(OFFSET('Solar Power Plant Data'!H244,-23,0,24,1)))
</f>
        <v>631875.5</v>
      </c>
      <c r="H222" s="21">
        <f>'Solar Power Plant Data'!H221/MAX('Solar Power Plant Data'!E221,0.0001)
</f>
        <v>0</v>
      </c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</row>
    <row r="223">
      <c r="A223" s="21">
        <f>HOUR('Solar Power Plant Data'!A222)</f>
        <v>4</v>
      </c>
      <c r="B223" s="21">
        <f>DAY('Solar Power Plant Data'!A222)</f>
        <v>1</v>
      </c>
      <c r="C223" s="21">
        <f>MONTH('Solar Power Plant Data'!A222)</f>
        <v>10</v>
      </c>
      <c r="D223" s="21" t="str">
        <f>TEXT('Solar Power Plant Data'!A222,"ddd")</f>
        <v>Sun</v>
      </c>
      <c r="E223" s="21">
        <f t="shared" si="1"/>
        <v>1</v>
      </c>
      <c r="F223" s="19">
        <f t="array" ref="F223">IF(ROW()&lt;25,"",INDEX('Solar Power Plant Data'!H:H,ROW()-1))</f>
        <v>0</v>
      </c>
      <c r="G223" s="19">
        <f>IF(ROW()&lt;25,"",AVERAGE(OFFSET('Solar Power Plant Data'!H245,-23,0,24,1)))
</f>
        <v>631875.5</v>
      </c>
      <c r="H223" s="21">
        <f>'Solar Power Plant Data'!H222/MAX('Solar Power Plant Data'!E222,0.0001)
</f>
        <v>0</v>
      </c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</row>
    <row r="224">
      <c r="A224" s="21">
        <f>HOUR('Solar Power Plant Data'!A223)</f>
        <v>5</v>
      </c>
      <c r="B224" s="21">
        <f>DAY('Solar Power Plant Data'!A223)</f>
        <v>1</v>
      </c>
      <c r="C224" s="21">
        <f>MONTH('Solar Power Plant Data'!A223)</f>
        <v>10</v>
      </c>
      <c r="D224" s="21" t="str">
        <f>TEXT('Solar Power Plant Data'!A223,"ddd")</f>
        <v>Sun</v>
      </c>
      <c r="E224" s="21">
        <f t="shared" si="1"/>
        <v>1</v>
      </c>
      <c r="F224" s="19">
        <f t="array" ref="F224">IF(ROW()&lt;25,"",INDEX('Solar Power Plant Data'!H:H,ROW()-1))</f>
        <v>0</v>
      </c>
      <c r="G224" s="19">
        <f>IF(ROW()&lt;25,"",AVERAGE(OFFSET('Solar Power Plant Data'!H246,-23,0,24,1)))
</f>
        <v>631875.5</v>
      </c>
      <c r="H224" s="21">
        <f>'Solar Power Plant Data'!H223/MAX('Solar Power Plant Data'!E223,0.0001)
</f>
        <v>0</v>
      </c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</row>
    <row r="225">
      <c r="A225" s="21">
        <f>HOUR('Solar Power Plant Data'!A224)</f>
        <v>6</v>
      </c>
      <c r="B225" s="21">
        <f>DAY('Solar Power Plant Data'!A224)</f>
        <v>1</v>
      </c>
      <c r="C225" s="21">
        <f>MONTH('Solar Power Plant Data'!A224)</f>
        <v>10</v>
      </c>
      <c r="D225" s="21" t="str">
        <f>TEXT('Solar Power Plant Data'!A224,"ddd")</f>
        <v>Sun</v>
      </c>
      <c r="E225" s="21">
        <f t="shared" si="1"/>
        <v>1</v>
      </c>
      <c r="F225" s="19">
        <f t="array" ref="F225">IF(ROW()&lt;25,"",INDEX('Solar Power Plant Data'!H:H,ROW()-1))</f>
        <v>0</v>
      </c>
      <c r="G225" s="19">
        <f>IF(ROW()&lt;25,"",AVERAGE(OFFSET('Solar Power Plant Data'!H247,-23,0,24,1)))
</f>
        <v>631875.5</v>
      </c>
      <c r="H225" s="21">
        <f>'Solar Power Plant Data'!H224/MAX('Solar Power Plant Data'!E224,0.0001)
</f>
        <v>0</v>
      </c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</row>
    <row r="226">
      <c r="A226" s="21">
        <f>HOUR('Solar Power Plant Data'!A225)</f>
        <v>7</v>
      </c>
      <c r="B226" s="21">
        <f>DAY('Solar Power Plant Data'!A225)</f>
        <v>1</v>
      </c>
      <c r="C226" s="21">
        <f>MONTH('Solar Power Plant Data'!A225)</f>
        <v>10</v>
      </c>
      <c r="D226" s="21" t="str">
        <f>TEXT('Solar Power Plant Data'!A225,"ddd")</f>
        <v>Sun</v>
      </c>
      <c r="E226" s="21">
        <f t="shared" si="1"/>
        <v>1</v>
      </c>
      <c r="F226" s="19">
        <f t="array" ref="F226">IF(ROW()&lt;25,"",INDEX('Solar Power Plant Data'!H:H,ROW()-1))</f>
        <v>0</v>
      </c>
      <c r="G226" s="19">
        <f>IF(ROW()&lt;25,"",AVERAGE(OFFSET('Solar Power Plant Data'!H248,-23,0,24,1)))
</f>
        <v>631875.5</v>
      </c>
      <c r="H226" s="21">
        <f>'Solar Power Plant Data'!H225/MAX('Solar Power Plant Data'!E225,0.0001)
</f>
        <v>0</v>
      </c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</row>
    <row r="227">
      <c r="A227" s="21">
        <f>HOUR('Solar Power Plant Data'!A226)</f>
        <v>8</v>
      </c>
      <c r="B227" s="21">
        <f>DAY('Solar Power Plant Data'!A226)</f>
        <v>1</v>
      </c>
      <c r="C227" s="21">
        <f>MONTH('Solar Power Plant Data'!A226)</f>
        <v>10</v>
      </c>
      <c r="D227" s="21" t="str">
        <f>TEXT('Solar Power Plant Data'!A226,"ddd")</f>
        <v>Sun</v>
      </c>
      <c r="E227" s="21">
        <f t="shared" si="1"/>
        <v>1</v>
      </c>
      <c r="F227" s="19">
        <f t="array" ref="F227">IF(ROW()&lt;25,"",INDEX('Solar Power Plant Data'!H:H,ROW()-1))</f>
        <v>0</v>
      </c>
      <c r="G227" s="19">
        <f>IF(ROW()&lt;25,"",AVERAGE(OFFSET('Solar Power Plant Data'!H249,-23,0,24,1)))
</f>
        <v>631875.5</v>
      </c>
      <c r="H227" s="21">
        <f>'Solar Power Plant Data'!H226/MAX('Solar Power Plant Data'!E226,0.0001)
</f>
        <v>0</v>
      </c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</row>
    <row r="228">
      <c r="A228" s="21">
        <f>HOUR('Solar Power Plant Data'!A227)</f>
        <v>9</v>
      </c>
      <c r="B228" s="21">
        <f>DAY('Solar Power Plant Data'!A227)</f>
        <v>1</v>
      </c>
      <c r="C228" s="21">
        <f>MONTH('Solar Power Plant Data'!A227)</f>
        <v>10</v>
      </c>
      <c r="D228" s="21" t="str">
        <f>TEXT('Solar Power Plant Data'!A227,"ddd")</f>
        <v>Sun</v>
      </c>
      <c r="E228" s="21">
        <f t="shared" si="1"/>
        <v>1</v>
      </c>
      <c r="F228" s="19">
        <f t="array" ref="F228">IF(ROW()&lt;25,"",INDEX('Solar Power Plant Data'!H:H,ROW()-1))</f>
        <v>0</v>
      </c>
      <c r="G228" s="19">
        <f>IF(ROW()&lt;25,"",AVERAGE(OFFSET('Solar Power Plant Data'!H250,-23,0,24,1)))
</f>
        <v>631875.5</v>
      </c>
      <c r="H228" s="21">
        <f>'Solar Power Plant Data'!H227/MAX('Solar Power Plant Data'!E227,0.0001)
</f>
        <v>0</v>
      </c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</row>
    <row r="229">
      <c r="A229" s="21">
        <f>HOUR('Solar Power Plant Data'!A228)</f>
        <v>10</v>
      </c>
      <c r="B229" s="21">
        <f>DAY('Solar Power Plant Data'!A228)</f>
        <v>1</v>
      </c>
      <c r="C229" s="21">
        <f>MONTH('Solar Power Plant Data'!A228)</f>
        <v>10</v>
      </c>
      <c r="D229" s="21" t="str">
        <f>TEXT('Solar Power Plant Data'!A228,"ddd")</f>
        <v>Sun</v>
      </c>
      <c r="E229" s="21">
        <f t="shared" si="1"/>
        <v>1</v>
      </c>
      <c r="F229" s="19">
        <f t="array" ref="F229">IF(ROW()&lt;25,"",INDEX('Solar Power Plant Data'!H:H,ROW()-1))</f>
        <v>0</v>
      </c>
      <c r="G229" s="19">
        <f>IF(ROW()&lt;25,"",AVERAGE(OFFSET('Solar Power Plant Data'!H251,-23,0,24,1)))
</f>
        <v>631875.5</v>
      </c>
      <c r="H229" s="21">
        <f>'Solar Power Plant Data'!H228/MAX('Solar Power Plant Data'!E228,0.0001)
</f>
        <v>0</v>
      </c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</row>
    <row r="230">
      <c r="A230" s="21">
        <f>HOUR('Solar Power Plant Data'!A229)</f>
        <v>11</v>
      </c>
      <c r="B230" s="21">
        <f>DAY('Solar Power Plant Data'!A229)</f>
        <v>1</v>
      </c>
      <c r="C230" s="21">
        <f>MONTH('Solar Power Plant Data'!A229)</f>
        <v>10</v>
      </c>
      <c r="D230" s="21" t="str">
        <f>TEXT('Solar Power Plant Data'!A229,"ddd")</f>
        <v>Sun</v>
      </c>
      <c r="E230" s="21">
        <f t="shared" si="1"/>
        <v>1</v>
      </c>
      <c r="F230" s="19">
        <f t="array" ref="F230">IF(ROW()&lt;25,"",INDEX('Solar Power Plant Data'!H:H,ROW()-1))</f>
        <v>6604999</v>
      </c>
      <c r="G230" s="19">
        <f>IF(ROW()&lt;25,"",AVERAGE(OFFSET('Solar Power Plant Data'!H252,-23,0,24,1)))
</f>
        <v>631875.5</v>
      </c>
      <c r="H230" s="21">
        <f>'Solar Power Plant Data'!H229/MAX('Solar Power Plant Data'!E229,0.0001)
</f>
        <v>287173.8696</v>
      </c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</row>
    <row r="231">
      <c r="A231" s="21">
        <f>HOUR('Solar Power Plant Data'!A230)</f>
        <v>12</v>
      </c>
      <c r="B231" s="21">
        <f>DAY('Solar Power Plant Data'!A230)</f>
        <v>1</v>
      </c>
      <c r="C231" s="21">
        <f>MONTH('Solar Power Plant Data'!A230)</f>
        <v>10</v>
      </c>
      <c r="D231" s="21" t="str">
        <f>TEXT('Solar Power Plant Data'!A230,"ddd")</f>
        <v>Sun</v>
      </c>
      <c r="E231" s="21">
        <f t="shared" si="1"/>
        <v>1</v>
      </c>
      <c r="F231" s="19">
        <f t="array" ref="F231">IF(ROW()&lt;25,"",INDEX('Solar Power Plant Data'!H:H,ROW()-1))</f>
        <v>3971667</v>
      </c>
      <c r="G231" s="19">
        <f>IF(ROW()&lt;25,"",AVERAGE(OFFSET('Solar Power Plant Data'!H253,-23,0,24,1)))
</f>
        <v>356667.2083</v>
      </c>
      <c r="H231" s="21">
        <f>'Solar Power Plant Data'!H230/MAX('Solar Power Plant Data'!E230,0.0001)
</f>
        <v>39716670000</v>
      </c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</row>
    <row r="232">
      <c r="A232" s="21">
        <f>HOUR('Solar Power Plant Data'!A231)</f>
        <v>13</v>
      </c>
      <c r="B232" s="21">
        <f>DAY('Solar Power Plant Data'!A231)</f>
        <v>1</v>
      </c>
      <c r="C232" s="21">
        <f>MONTH('Solar Power Plant Data'!A231)</f>
        <v>10</v>
      </c>
      <c r="D232" s="21" t="str">
        <f>TEXT('Solar Power Plant Data'!A231,"ddd")</f>
        <v>Sun</v>
      </c>
      <c r="E232" s="21">
        <f t="shared" si="1"/>
        <v>1</v>
      </c>
      <c r="F232" s="19">
        <f t="array" ref="F232">IF(ROW()&lt;25,"",INDEX('Solar Power Plant Data'!H:H,ROW()-1))</f>
        <v>2961667</v>
      </c>
      <c r="G232" s="19">
        <f>IF(ROW()&lt;25,"",AVERAGE(OFFSET('Solar Power Plant Data'!H254,-23,0,24,1)))
</f>
        <v>191181.0833</v>
      </c>
      <c r="H232" s="21">
        <f>'Solar Power Plant Data'!H231/MAX('Solar Power Plant Data'!E231,0.0001)
</f>
        <v>211547.6429</v>
      </c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</row>
    <row r="233">
      <c r="A233" s="21">
        <f>HOUR('Solar Power Plant Data'!A232)</f>
        <v>14</v>
      </c>
      <c r="B233" s="21">
        <f>DAY('Solar Power Plant Data'!A232)</f>
        <v>1</v>
      </c>
      <c r="C233" s="21">
        <f>MONTH('Solar Power Plant Data'!A232)</f>
        <v>10</v>
      </c>
      <c r="D233" s="21" t="str">
        <f>TEXT('Solar Power Plant Data'!A232,"ddd")</f>
        <v>Sun</v>
      </c>
      <c r="E233" s="21">
        <f t="shared" si="1"/>
        <v>1</v>
      </c>
      <c r="F233" s="19">
        <f t="array" ref="F233">IF(ROW()&lt;25,"",INDEX('Solar Power Plant Data'!H:H,ROW()-1))</f>
        <v>1626667</v>
      </c>
      <c r="G233" s="19">
        <f>IF(ROW()&lt;25,"",AVERAGE(OFFSET('Solar Power Plant Data'!H255,-23,0,24,1)))
</f>
        <v>67781.04167</v>
      </c>
      <c r="H233" s="21">
        <f>'Solar Power Plant Data'!H232/MAX('Solar Power Plant Data'!E232,0.0001)
</f>
        <v>16266670000</v>
      </c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</row>
    <row r="234">
      <c r="A234" s="21">
        <f>HOUR('Solar Power Plant Data'!A233)</f>
        <v>15</v>
      </c>
      <c r="B234" s="21">
        <f>DAY('Solar Power Plant Data'!A233)</f>
        <v>1</v>
      </c>
      <c r="C234" s="21">
        <f>MONTH('Solar Power Plant Data'!A233)</f>
        <v>10</v>
      </c>
      <c r="D234" s="21" t="str">
        <f>TEXT('Solar Power Plant Data'!A233,"ddd")</f>
        <v>Sun</v>
      </c>
      <c r="E234" s="21">
        <f t="shared" si="1"/>
        <v>1</v>
      </c>
      <c r="F234" s="19">
        <f t="array" ref="F234">IF(ROW()&lt;25,"",INDEX('Solar Power Plant Data'!H:H,ROW()-1))</f>
        <v>12</v>
      </c>
      <c r="G234" s="19">
        <f>IF(ROW()&lt;25,"",AVERAGE(OFFSET('Solar Power Plant Data'!H256,-23,0,24,1)))
</f>
        <v>74308.83333</v>
      </c>
      <c r="H234" s="21">
        <f>'Solar Power Plant Data'!H233/MAX('Solar Power Plant Data'!E233,0.0001)
</f>
        <v>120000</v>
      </c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</row>
    <row r="235">
      <c r="A235" s="21">
        <f>HOUR('Solar Power Plant Data'!A234)</f>
        <v>16</v>
      </c>
      <c r="B235" s="21">
        <f>DAY('Solar Power Plant Data'!A234)</f>
        <v>1</v>
      </c>
      <c r="C235" s="21">
        <f>MONTH('Solar Power Plant Data'!A234)</f>
        <v>10</v>
      </c>
      <c r="D235" s="21" t="str">
        <f>TEXT('Solar Power Plant Data'!A234,"ddd")</f>
        <v>Sun</v>
      </c>
      <c r="E235" s="21">
        <f t="shared" si="1"/>
        <v>1</v>
      </c>
      <c r="F235" s="19">
        <f t="array" ref="F235">IF(ROW()&lt;25,"",INDEX('Solar Power Plant Data'!H:H,ROW()-1))</f>
        <v>0</v>
      </c>
      <c r="G235" s="19">
        <f>IF(ROW()&lt;25,"",AVERAGE(OFFSET('Solar Power Plant Data'!H257,-23,0,24,1)))
</f>
        <v>74308.33333</v>
      </c>
      <c r="H235" s="21">
        <f>'Solar Power Plant Data'!H234/MAX('Solar Power Plant Data'!E234,0.0001)
</f>
        <v>0</v>
      </c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</row>
    <row r="236">
      <c r="A236" s="21">
        <f>HOUR('Solar Power Plant Data'!A235)</f>
        <v>17</v>
      </c>
      <c r="B236" s="21">
        <f>DAY('Solar Power Plant Data'!A235)</f>
        <v>1</v>
      </c>
      <c r="C236" s="21">
        <f>MONTH('Solar Power Plant Data'!A235)</f>
        <v>10</v>
      </c>
      <c r="D236" s="21" t="str">
        <f>TEXT('Solar Power Plant Data'!A235,"ddd")</f>
        <v>Sun</v>
      </c>
      <c r="E236" s="21">
        <f t="shared" si="1"/>
        <v>1</v>
      </c>
      <c r="F236" s="19">
        <f t="array" ref="F236">IF(ROW()&lt;25,"",INDEX('Solar Power Plant Data'!H:H,ROW()-1))</f>
        <v>0</v>
      </c>
      <c r="G236" s="19">
        <f>IF(ROW()&lt;25,"",AVERAGE(OFFSET('Solar Power Plant Data'!H258,-23,0,24,1)))
</f>
        <v>74308.33333</v>
      </c>
      <c r="H236" s="21">
        <f>'Solar Power Plant Data'!H235/MAX('Solar Power Plant Data'!E235,0.0001)
</f>
        <v>0</v>
      </c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</row>
    <row r="237">
      <c r="A237" s="21">
        <f>HOUR('Solar Power Plant Data'!A236)</f>
        <v>18</v>
      </c>
      <c r="B237" s="21">
        <f>DAY('Solar Power Plant Data'!A236)</f>
        <v>1</v>
      </c>
      <c r="C237" s="21">
        <f>MONTH('Solar Power Plant Data'!A236)</f>
        <v>10</v>
      </c>
      <c r="D237" s="21" t="str">
        <f>TEXT('Solar Power Plant Data'!A236,"ddd")</f>
        <v>Sun</v>
      </c>
      <c r="E237" s="21">
        <f t="shared" si="1"/>
        <v>1</v>
      </c>
      <c r="F237" s="19">
        <f t="array" ref="F237">IF(ROW()&lt;25,"",INDEX('Solar Power Plant Data'!H:H,ROW()-1))</f>
        <v>0</v>
      </c>
      <c r="G237" s="19">
        <f>IF(ROW()&lt;25,"",AVERAGE(OFFSET('Solar Power Plant Data'!H259,-23,0,24,1)))
</f>
        <v>74308.33333</v>
      </c>
      <c r="H237" s="21">
        <f>'Solar Power Plant Data'!H236/MAX('Solar Power Plant Data'!E236,0.0001)
</f>
        <v>0</v>
      </c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</row>
    <row r="238">
      <c r="A238" s="21">
        <f>HOUR('Solar Power Plant Data'!A237)</f>
        <v>19</v>
      </c>
      <c r="B238" s="21">
        <f>DAY('Solar Power Plant Data'!A237)</f>
        <v>1</v>
      </c>
      <c r="C238" s="21">
        <f>MONTH('Solar Power Plant Data'!A237)</f>
        <v>10</v>
      </c>
      <c r="D238" s="21" t="str">
        <f>TEXT('Solar Power Plant Data'!A237,"ddd")</f>
        <v>Sun</v>
      </c>
      <c r="E238" s="21">
        <f t="shared" si="1"/>
        <v>1</v>
      </c>
      <c r="F238" s="19">
        <f t="array" ref="F238">IF(ROW()&lt;25,"",INDEX('Solar Power Plant Data'!H:H,ROW()-1))</f>
        <v>0</v>
      </c>
      <c r="G238" s="19">
        <f>IF(ROW()&lt;25,"",AVERAGE(OFFSET('Solar Power Plant Data'!H260,-23,0,24,1)))
</f>
        <v>74308.33333</v>
      </c>
      <c r="H238" s="21">
        <f>'Solar Power Plant Data'!H237/MAX('Solar Power Plant Data'!E237,0.0001)
</f>
        <v>0</v>
      </c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</row>
    <row r="239">
      <c r="A239" s="21">
        <f>HOUR('Solar Power Plant Data'!A238)</f>
        <v>20</v>
      </c>
      <c r="B239" s="21">
        <f>DAY('Solar Power Plant Data'!A238)</f>
        <v>1</v>
      </c>
      <c r="C239" s="21">
        <f>MONTH('Solar Power Plant Data'!A238)</f>
        <v>10</v>
      </c>
      <c r="D239" s="21" t="str">
        <f>TEXT('Solar Power Plant Data'!A238,"ddd")</f>
        <v>Sun</v>
      </c>
      <c r="E239" s="21">
        <f t="shared" si="1"/>
        <v>1</v>
      </c>
      <c r="F239" s="19">
        <f t="array" ref="F239">IF(ROW()&lt;25,"",INDEX('Solar Power Plant Data'!H:H,ROW()-1))</f>
        <v>0</v>
      </c>
      <c r="G239" s="19">
        <f>IF(ROW()&lt;25,"",AVERAGE(OFFSET('Solar Power Plant Data'!H261,-23,0,24,1)))
</f>
        <v>74308.33333</v>
      </c>
      <c r="H239" s="21">
        <f>'Solar Power Plant Data'!H238/MAX('Solar Power Plant Data'!E238,0.0001)
</f>
        <v>0</v>
      </c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</row>
    <row r="240">
      <c r="A240" s="21">
        <f>HOUR('Solar Power Plant Data'!A239)</f>
        <v>21</v>
      </c>
      <c r="B240" s="21">
        <f>DAY('Solar Power Plant Data'!A239)</f>
        <v>1</v>
      </c>
      <c r="C240" s="21">
        <f>MONTH('Solar Power Plant Data'!A239)</f>
        <v>10</v>
      </c>
      <c r="D240" s="21" t="str">
        <f>TEXT('Solar Power Plant Data'!A239,"ddd")</f>
        <v>Sun</v>
      </c>
      <c r="E240" s="21">
        <f t="shared" si="1"/>
        <v>1</v>
      </c>
      <c r="F240" s="19">
        <f t="array" ref="F240">IF(ROW()&lt;25,"",INDEX('Solar Power Plant Data'!H:H,ROW()-1))</f>
        <v>0</v>
      </c>
      <c r="G240" s="19">
        <f>IF(ROW()&lt;25,"",AVERAGE(OFFSET('Solar Power Plant Data'!H262,-23,0,24,1)))
</f>
        <v>74308.33333</v>
      </c>
      <c r="H240" s="21">
        <f>'Solar Power Plant Data'!H239/MAX('Solar Power Plant Data'!E239,0.0001)
</f>
        <v>0</v>
      </c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</row>
    <row r="241">
      <c r="A241" s="21">
        <f>HOUR('Solar Power Plant Data'!A240)</f>
        <v>22</v>
      </c>
      <c r="B241" s="21">
        <f>DAY('Solar Power Plant Data'!A240)</f>
        <v>1</v>
      </c>
      <c r="C241" s="21">
        <f>MONTH('Solar Power Plant Data'!A240)</f>
        <v>10</v>
      </c>
      <c r="D241" s="21" t="str">
        <f>TEXT('Solar Power Plant Data'!A240,"ddd")</f>
        <v>Sun</v>
      </c>
      <c r="E241" s="21">
        <f t="shared" si="1"/>
        <v>1</v>
      </c>
      <c r="F241" s="19">
        <f t="array" ref="F241">IF(ROW()&lt;25,"",INDEX('Solar Power Plant Data'!H:H,ROW()-1))</f>
        <v>0</v>
      </c>
      <c r="G241" s="19">
        <f>IF(ROW()&lt;25,"",AVERAGE(OFFSET('Solar Power Plant Data'!H263,-23,0,24,1)))
</f>
        <v>74308.33333</v>
      </c>
      <c r="H241" s="21">
        <f>'Solar Power Plant Data'!H240/MAX('Solar Power Plant Data'!E240,0.0001)
</f>
        <v>0</v>
      </c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</row>
    <row r="242">
      <c r="A242" s="21">
        <f>HOUR('Solar Power Plant Data'!A241)</f>
        <v>23</v>
      </c>
      <c r="B242" s="21">
        <f>DAY('Solar Power Plant Data'!A241)</f>
        <v>1</v>
      </c>
      <c r="C242" s="21">
        <f>MONTH('Solar Power Plant Data'!A241)</f>
        <v>10</v>
      </c>
      <c r="D242" s="21" t="str">
        <f>TEXT('Solar Power Plant Data'!A241,"ddd")</f>
        <v>Sun</v>
      </c>
      <c r="E242" s="21">
        <f t="shared" si="1"/>
        <v>1</v>
      </c>
      <c r="F242" s="19">
        <f t="array" ref="F242">IF(ROW()&lt;25,"",INDEX('Solar Power Plant Data'!H:H,ROW()-1))</f>
        <v>0</v>
      </c>
      <c r="G242" s="19">
        <f>IF(ROW()&lt;25,"",AVERAGE(OFFSET('Solar Power Plant Data'!H264,-23,0,24,1)))
</f>
        <v>74308.33333</v>
      </c>
      <c r="H242" s="21">
        <f>'Solar Power Plant Data'!H241/MAX('Solar Power Plant Data'!E241,0.0001)
</f>
        <v>0</v>
      </c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</row>
    <row r="243">
      <c r="A243" s="21">
        <f>HOUR('Solar Power Plant Data'!A242)</f>
        <v>0</v>
      </c>
      <c r="B243" s="21">
        <f>DAY('Solar Power Plant Data'!A242)</f>
        <v>1</v>
      </c>
      <c r="C243" s="21">
        <f>MONTH('Solar Power Plant Data'!A242)</f>
        <v>11</v>
      </c>
      <c r="D243" s="21" t="str">
        <f>TEXT('Solar Power Plant Data'!A242,"ddd")</f>
        <v>Wed</v>
      </c>
      <c r="E243" s="21">
        <f t="shared" si="1"/>
        <v>0</v>
      </c>
      <c r="F243" s="19">
        <f t="array" ref="F243">IF(ROW()&lt;25,"",INDEX('Solar Power Plant Data'!H:H,ROW()-1))</f>
        <v>0</v>
      </c>
      <c r="G243" s="19">
        <f>IF(ROW()&lt;25,"",AVERAGE(OFFSET('Solar Power Plant Data'!H265,-23,0,24,1)))
</f>
        <v>74308.33333</v>
      </c>
      <c r="H243" s="21">
        <f>'Solar Power Plant Data'!H242/MAX('Solar Power Plant Data'!E242,0.0001)
</f>
        <v>0</v>
      </c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</row>
    <row r="244">
      <c r="A244" s="21">
        <f>HOUR('Solar Power Plant Data'!A243)</f>
        <v>1</v>
      </c>
      <c r="B244" s="21">
        <f>DAY('Solar Power Plant Data'!A243)</f>
        <v>1</v>
      </c>
      <c r="C244" s="21">
        <f>MONTH('Solar Power Plant Data'!A243)</f>
        <v>11</v>
      </c>
      <c r="D244" s="21" t="str">
        <f>TEXT('Solar Power Plant Data'!A243,"ddd")</f>
        <v>Wed</v>
      </c>
      <c r="E244" s="21">
        <f t="shared" si="1"/>
        <v>0</v>
      </c>
      <c r="F244" s="19">
        <f t="array" ref="F244">IF(ROW()&lt;25,"",INDEX('Solar Power Plant Data'!H:H,ROW()-1))</f>
        <v>0</v>
      </c>
      <c r="G244" s="19">
        <f>IF(ROW()&lt;25,"",AVERAGE(OFFSET('Solar Power Plant Data'!H266,-23,0,24,1)))
</f>
        <v>74308.33333</v>
      </c>
      <c r="H244" s="21">
        <f>'Solar Power Plant Data'!H243/MAX('Solar Power Plant Data'!E243,0.0001)
</f>
        <v>0</v>
      </c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</row>
    <row r="245">
      <c r="A245" s="21">
        <f>HOUR('Solar Power Plant Data'!A244)</f>
        <v>2</v>
      </c>
      <c r="B245" s="21">
        <f>DAY('Solar Power Plant Data'!A244)</f>
        <v>1</v>
      </c>
      <c r="C245" s="21">
        <f>MONTH('Solar Power Plant Data'!A244)</f>
        <v>11</v>
      </c>
      <c r="D245" s="21" t="str">
        <f>TEXT('Solar Power Plant Data'!A244,"ddd")</f>
        <v>Wed</v>
      </c>
      <c r="E245" s="21">
        <f t="shared" si="1"/>
        <v>0</v>
      </c>
      <c r="F245" s="19">
        <f t="array" ref="F245">IF(ROW()&lt;25,"",INDEX('Solar Power Plant Data'!H:H,ROW()-1))</f>
        <v>0</v>
      </c>
      <c r="G245" s="19">
        <f>IF(ROW()&lt;25,"",AVERAGE(OFFSET('Solar Power Plant Data'!H267,-23,0,24,1)))
</f>
        <v>74308.33333</v>
      </c>
      <c r="H245" s="21">
        <f>'Solar Power Plant Data'!H244/MAX('Solar Power Plant Data'!E244,0.0001)
</f>
        <v>0</v>
      </c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</row>
    <row r="246">
      <c r="A246" s="21">
        <f>HOUR('Solar Power Plant Data'!A245)</f>
        <v>3</v>
      </c>
      <c r="B246" s="21">
        <f>DAY('Solar Power Plant Data'!A245)</f>
        <v>1</v>
      </c>
      <c r="C246" s="21">
        <f>MONTH('Solar Power Plant Data'!A245)</f>
        <v>11</v>
      </c>
      <c r="D246" s="21" t="str">
        <f>TEXT('Solar Power Plant Data'!A245,"ddd")</f>
        <v>Wed</v>
      </c>
      <c r="E246" s="21">
        <f t="shared" si="1"/>
        <v>0</v>
      </c>
      <c r="F246" s="19">
        <f t="array" ref="F246">IF(ROW()&lt;25,"",INDEX('Solar Power Plant Data'!H:H,ROW()-1))</f>
        <v>0</v>
      </c>
      <c r="G246" s="19">
        <f>IF(ROW()&lt;25,"",AVERAGE(OFFSET('Solar Power Plant Data'!H268,-23,0,24,1)))
</f>
        <v>74308.33333</v>
      </c>
      <c r="H246" s="21">
        <f>'Solar Power Plant Data'!H245/MAX('Solar Power Plant Data'!E245,0.0001)
</f>
        <v>0</v>
      </c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</row>
    <row r="247">
      <c r="A247" s="21">
        <f>HOUR('Solar Power Plant Data'!A246)</f>
        <v>4</v>
      </c>
      <c r="B247" s="21">
        <f>DAY('Solar Power Plant Data'!A246)</f>
        <v>1</v>
      </c>
      <c r="C247" s="21">
        <f>MONTH('Solar Power Plant Data'!A246)</f>
        <v>11</v>
      </c>
      <c r="D247" s="21" t="str">
        <f>TEXT('Solar Power Plant Data'!A246,"ddd")</f>
        <v>Wed</v>
      </c>
      <c r="E247" s="21">
        <f t="shared" si="1"/>
        <v>0</v>
      </c>
      <c r="F247" s="19">
        <f t="array" ref="F247">IF(ROW()&lt;25,"",INDEX('Solar Power Plant Data'!H:H,ROW()-1))</f>
        <v>0</v>
      </c>
      <c r="G247" s="19">
        <f>IF(ROW()&lt;25,"",AVERAGE(OFFSET('Solar Power Plant Data'!H269,-23,0,24,1)))
</f>
        <v>74308.33333</v>
      </c>
      <c r="H247" s="21">
        <f>'Solar Power Plant Data'!H246/MAX('Solar Power Plant Data'!E246,0.0001)
</f>
        <v>0</v>
      </c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</row>
    <row r="248">
      <c r="A248" s="21">
        <f>HOUR('Solar Power Plant Data'!A247)</f>
        <v>5</v>
      </c>
      <c r="B248" s="21">
        <f>DAY('Solar Power Plant Data'!A247)</f>
        <v>1</v>
      </c>
      <c r="C248" s="21">
        <f>MONTH('Solar Power Plant Data'!A247)</f>
        <v>11</v>
      </c>
      <c r="D248" s="21" t="str">
        <f>TEXT('Solar Power Plant Data'!A247,"ddd")</f>
        <v>Wed</v>
      </c>
      <c r="E248" s="21">
        <f t="shared" si="1"/>
        <v>0</v>
      </c>
      <c r="F248" s="19">
        <f t="array" ref="F248">IF(ROW()&lt;25,"",INDEX('Solar Power Plant Data'!H:H,ROW()-1))</f>
        <v>0</v>
      </c>
      <c r="G248" s="19">
        <f>IF(ROW()&lt;25,"",AVERAGE(OFFSET('Solar Power Plant Data'!H270,-23,0,24,1)))
</f>
        <v>74308.33333</v>
      </c>
      <c r="H248" s="21">
        <f>'Solar Power Plant Data'!H247/MAX('Solar Power Plant Data'!E247,0.0001)
</f>
        <v>0</v>
      </c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</row>
    <row r="249">
      <c r="A249" s="21">
        <f>HOUR('Solar Power Plant Data'!A248)</f>
        <v>6</v>
      </c>
      <c r="B249" s="21">
        <f>DAY('Solar Power Plant Data'!A248)</f>
        <v>1</v>
      </c>
      <c r="C249" s="21">
        <f>MONTH('Solar Power Plant Data'!A248)</f>
        <v>11</v>
      </c>
      <c r="D249" s="21" t="str">
        <f>TEXT('Solar Power Plant Data'!A248,"ddd")</f>
        <v>Wed</v>
      </c>
      <c r="E249" s="21">
        <f t="shared" si="1"/>
        <v>0</v>
      </c>
      <c r="F249" s="19">
        <f t="array" ref="F249">IF(ROW()&lt;25,"",INDEX('Solar Power Plant Data'!H:H,ROW()-1))</f>
        <v>0</v>
      </c>
      <c r="G249" s="19">
        <f>IF(ROW()&lt;25,"",AVERAGE(OFFSET('Solar Power Plant Data'!H271,-23,0,24,1)))
</f>
        <v>74308.33333</v>
      </c>
      <c r="H249" s="21">
        <f>'Solar Power Plant Data'!H248/MAX('Solar Power Plant Data'!E248,0.0001)
</f>
        <v>0</v>
      </c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</row>
    <row r="250">
      <c r="A250" s="21">
        <f>HOUR('Solar Power Plant Data'!A249)</f>
        <v>7</v>
      </c>
      <c r="B250" s="21">
        <f>DAY('Solar Power Plant Data'!A249)</f>
        <v>1</v>
      </c>
      <c r="C250" s="21">
        <f>MONTH('Solar Power Plant Data'!A249)</f>
        <v>11</v>
      </c>
      <c r="D250" s="21" t="str">
        <f>TEXT('Solar Power Plant Data'!A249,"ddd")</f>
        <v>Wed</v>
      </c>
      <c r="E250" s="21">
        <f t="shared" si="1"/>
        <v>0</v>
      </c>
      <c r="F250" s="19">
        <f t="array" ref="F250">IF(ROW()&lt;25,"",INDEX('Solar Power Plant Data'!H:H,ROW()-1))</f>
        <v>0</v>
      </c>
      <c r="G250" s="19">
        <f>IF(ROW()&lt;25,"",AVERAGE(OFFSET('Solar Power Plant Data'!H272,-23,0,24,1)))
</f>
        <v>74308.33333</v>
      </c>
      <c r="H250" s="21">
        <f>'Solar Power Plant Data'!H249/MAX('Solar Power Plant Data'!E249,0.0001)
</f>
        <v>0</v>
      </c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</row>
    <row r="251">
      <c r="A251" s="21">
        <f>HOUR('Solar Power Plant Data'!A250)</f>
        <v>8</v>
      </c>
      <c r="B251" s="21">
        <f>DAY('Solar Power Plant Data'!A250)</f>
        <v>1</v>
      </c>
      <c r="C251" s="21">
        <f>MONTH('Solar Power Plant Data'!A250)</f>
        <v>11</v>
      </c>
      <c r="D251" s="21" t="str">
        <f>TEXT('Solar Power Plant Data'!A250,"ddd")</f>
        <v>Wed</v>
      </c>
      <c r="E251" s="21">
        <f t="shared" si="1"/>
        <v>0</v>
      </c>
      <c r="F251" s="19">
        <f t="array" ref="F251">IF(ROW()&lt;25,"",INDEX('Solar Power Plant Data'!H:H,ROW()-1))</f>
        <v>0</v>
      </c>
      <c r="G251" s="19">
        <f>IF(ROW()&lt;25,"",AVERAGE(OFFSET('Solar Power Plant Data'!H273,-23,0,24,1)))
</f>
        <v>74308.33333</v>
      </c>
      <c r="H251" s="21">
        <f>'Solar Power Plant Data'!H250/MAX('Solar Power Plant Data'!E250,0.0001)
</f>
        <v>0</v>
      </c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</row>
    <row r="252">
      <c r="A252" s="21">
        <f>HOUR('Solar Power Plant Data'!A251)</f>
        <v>9</v>
      </c>
      <c r="B252" s="21">
        <f>DAY('Solar Power Plant Data'!A251)</f>
        <v>1</v>
      </c>
      <c r="C252" s="21">
        <f>MONTH('Solar Power Plant Data'!A251)</f>
        <v>11</v>
      </c>
      <c r="D252" s="21" t="str">
        <f>TEXT('Solar Power Plant Data'!A251,"ddd")</f>
        <v>Wed</v>
      </c>
      <c r="E252" s="21">
        <f t="shared" si="1"/>
        <v>0</v>
      </c>
      <c r="F252" s="19">
        <f t="array" ref="F252">IF(ROW()&lt;25,"",INDEX('Solar Power Plant Data'!H:H,ROW()-1))</f>
        <v>0</v>
      </c>
      <c r="G252" s="19">
        <f>IF(ROW()&lt;25,"",AVERAGE(OFFSET('Solar Power Plant Data'!H274,-23,0,24,1)))
</f>
        <v>74308.33333</v>
      </c>
      <c r="H252" s="21">
        <f>'Solar Power Plant Data'!H251/MAX('Solar Power Plant Data'!E251,0.0001)
</f>
        <v>0</v>
      </c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</row>
    <row r="253">
      <c r="A253" s="21">
        <f>HOUR('Solar Power Plant Data'!A252)</f>
        <v>10</v>
      </c>
      <c r="B253" s="21">
        <f>DAY('Solar Power Plant Data'!A252)</f>
        <v>1</v>
      </c>
      <c r="C253" s="21">
        <f>MONTH('Solar Power Plant Data'!A252)</f>
        <v>11</v>
      </c>
      <c r="D253" s="21" t="str">
        <f>TEXT('Solar Power Plant Data'!A252,"ddd")</f>
        <v>Wed</v>
      </c>
      <c r="E253" s="21">
        <f t="shared" si="1"/>
        <v>0</v>
      </c>
      <c r="F253" s="19">
        <f t="array" ref="F253">IF(ROW()&lt;25,"",INDEX('Solar Power Plant Data'!H:H,ROW()-1))</f>
        <v>0</v>
      </c>
      <c r="G253" s="19">
        <f>IF(ROW()&lt;25,"",AVERAGE(OFFSET('Solar Power Plant Data'!H275,-23,0,24,1)))
</f>
        <v>74308.33333</v>
      </c>
      <c r="H253" s="21">
        <f>'Solar Power Plant Data'!H252/MAX('Solar Power Plant Data'!E252,0.0001)
</f>
        <v>0</v>
      </c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</row>
    <row r="254">
      <c r="A254" s="21">
        <f>HOUR('Solar Power Plant Data'!A253)</f>
        <v>11</v>
      </c>
      <c r="B254" s="21">
        <f>DAY('Solar Power Plant Data'!A253)</f>
        <v>1</v>
      </c>
      <c r="C254" s="21">
        <f>MONTH('Solar Power Plant Data'!A253)</f>
        <v>11</v>
      </c>
      <c r="D254" s="21" t="str">
        <f>TEXT('Solar Power Plant Data'!A253,"ddd")</f>
        <v>Wed</v>
      </c>
      <c r="E254" s="21">
        <f t="shared" si="1"/>
        <v>0</v>
      </c>
      <c r="F254" s="19">
        <f t="array" ref="F254">IF(ROW()&lt;25,"",INDEX('Solar Power Plant Data'!H:H,ROW()-1))</f>
        <v>0</v>
      </c>
      <c r="G254" s="19">
        <f>IF(ROW()&lt;25,"",AVERAGE(OFFSET('Solar Power Plant Data'!H276,-23,0,24,1)))
</f>
        <v>74308.33333</v>
      </c>
      <c r="H254" s="21">
        <f>'Solar Power Plant Data'!H253/MAX('Solar Power Plant Data'!E253,0.0001)
</f>
        <v>0</v>
      </c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</row>
    <row r="255">
      <c r="A255" s="21">
        <f>HOUR('Solar Power Plant Data'!A254)</f>
        <v>12</v>
      </c>
      <c r="B255" s="21">
        <f>DAY('Solar Power Plant Data'!A254)</f>
        <v>1</v>
      </c>
      <c r="C255" s="21">
        <f>MONTH('Solar Power Plant Data'!A254)</f>
        <v>11</v>
      </c>
      <c r="D255" s="21" t="str">
        <f>TEXT('Solar Power Plant Data'!A254,"ddd")</f>
        <v>Wed</v>
      </c>
      <c r="E255" s="21">
        <f t="shared" si="1"/>
        <v>0</v>
      </c>
      <c r="F255" s="19">
        <f t="array" ref="F255">IF(ROW()&lt;25,"",INDEX('Solar Power Plant Data'!H:H,ROW()-1))</f>
        <v>0</v>
      </c>
      <c r="G255" s="19">
        <f>IF(ROW()&lt;25,"",AVERAGE(OFFSET('Solar Power Plant Data'!H277,-23,0,24,1)))
</f>
        <v>74313.04167</v>
      </c>
      <c r="H255" s="21">
        <f>'Solar Power Plant Data'!H254/MAX('Solar Power Plant Data'!E254,0.0001)
</f>
        <v>0</v>
      </c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</row>
    <row r="256">
      <c r="A256" s="21">
        <f>HOUR('Solar Power Plant Data'!A255)</f>
        <v>13</v>
      </c>
      <c r="B256" s="21">
        <f>DAY('Solar Power Plant Data'!A255)</f>
        <v>1</v>
      </c>
      <c r="C256" s="21">
        <f>MONTH('Solar Power Plant Data'!A255)</f>
        <v>11</v>
      </c>
      <c r="D256" s="21" t="str">
        <f>TEXT('Solar Power Plant Data'!A255,"ddd")</f>
        <v>Wed</v>
      </c>
      <c r="E256" s="21">
        <f t="shared" si="1"/>
        <v>0</v>
      </c>
      <c r="F256" s="19">
        <f t="array" ref="F256">IF(ROW()&lt;25,"",INDEX('Solar Power Plant Data'!H:H,ROW()-1))</f>
        <v>66</v>
      </c>
      <c r="G256" s="19">
        <f>IF(ROW()&lt;25,"",AVERAGE(OFFSET('Solar Power Plant Data'!H278,-23,0,24,1)))
</f>
        <v>74328.375</v>
      </c>
      <c r="H256" s="21">
        <f>'Solar Power Plant Data'!H255/MAX('Solar Power Plant Data'!E255,0.0001)
</f>
        <v>660000</v>
      </c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</row>
    <row r="257">
      <c r="A257" s="21">
        <f>HOUR('Solar Power Plant Data'!A256)</f>
        <v>14</v>
      </c>
      <c r="B257" s="21">
        <f>DAY('Solar Power Plant Data'!A256)</f>
        <v>1</v>
      </c>
      <c r="C257" s="21">
        <f>MONTH('Solar Power Plant Data'!A256)</f>
        <v>11</v>
      </c>
      <c r="D257" s="21" t="str">
        <f>TEXT('Solar Power Plant Data'!A256,"ddd")</f>
        <v>Wed</v>
      </c>
      <c r="E257" s="21">
        <f t="shared" si="1"/>
        <v>0</v>
      </c>
      <c r="F257" s="19">
        <f t="array" ref="F257">IF(ROW()&lt;25,"",INDEX('Solar Power Plant Data'!H:H,ROW()-1))</f>
        <v>1783334</v>
      </c>
      <c r="G257" s="19">
        <f>IF(ROW()&lt;25,"",AVERAGE(OFFSET('Solar Power Plant Data'!H279,-23,0,24,1)))
</f>
        <v>74343.5</v>
      </c>
      <c r="H257" s="21">
        <f>'Solar Power Plant Data'!H256/MAX('Solar Power Plant Data'!E256,0.0001)
</f>
        <v>17833340000</v>
      </c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</row>
    <row r="258">
      <c r="A258" s="21">
        <f>HOUR('Solar Power Plant Data'!A257)</f>
        <v>15</v>
      </c>
      <c r="B258" s="21">
        <f>DAY('Solar Power Plant Data'!A257)</f>
        <v>1</v>
      </c>
      <c r="C258" s="21">
        <f>MONTH('Solar Power Plant Data'!A257)</f>
        <v>11</v>
      </c>
      <c r="D258" s="21" t="str">
        <f>TEXT('Solar Power Plant Data'!A257,"ddd")</f>
        <v>Wed</v>
      </c>
      <c r="E258" s="21">
        <f t="shared" si="1"/>
        <v>0</v>
      </c>
      <c r="F258" s="19">
        <f t="array" ref="F258">IF(ROW()&lt;25,"",INDEX('Solar Power Plant Data'!H:H,ROW()-1))</f>
        <v>0</v>
      </c>
      <c r="G258" s="19">
        <f>IF(ROW()&lt;25,"",AVERAGE(OFFSET('Solar Power Plant Data'!H280,-23,0,24,1)))
</f>
        <v>172676.7917</v>
      </c>
      <c r="H258" s="21">
        <f>'Solar Power Plant Data'!H257/MAX('Solar Power Plant Data'!E257,0.0001)
</f>
        <v>0</v>
      </c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</row>
    <row r="259">
      <c r="A259" s="21">
        <f>HOUR('Solar Power Plant Data'!A258)</f>
        <v>16</v>
      </c>
      <c r="B259" s="21">
        <f>DAY('Solar Power Plant Data'!A258)</f>
        <v>1</v>
      </c>
      <c r="C259" s="21">
        <f>MONTH('Solar Power Plant Data'!A258)</f>
        <v>11</v>
      </c>
      <c r="D259" s="21" t="str">
        <f>TEXT('Solar Power Plant Data'!A258,"ddd")</f>
        <v>Wed</v>
      </c>
      <c r="E259" s="21">
        <f t="shared" si="1"/>
        <v>0</v>
      </c>
      <c r="F259" s="19">
        <f t="array" ref="F259">IF(ROW()&lt;25,"",INDEX('Solar Power Plant Data'!H:H,ROW()-1))</f>
        <v>0</v>
      </c>
      <c r="G259" s="19">
        <f>IF(ROW()&lt;25,"",AVERAGE(OFFSET('Solar Power Plant Data'!H281,-23,0,24,1)))
</f>
        <v>188857.3333</v>
      </c>
      <c r="H259" s="21">
        <f>'Solar Power Plant Data'!H258/MAX('Solar Power Plant Data'!E258,0.0001)
</f>
        <v>0</v>
      </c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</row>
    <row r="260">
      <c r="A260" s="21">
        <f>HOUR('Solar Power Plant Data'!A259)</f>
        <v>17</v>
      </c>
      <c r="B260" s="21">
        <f>DAY('Solar Power Plant Data'!A259)</f>
        <v>1</v>
      </c>
      <c r="C260" s="21">
        <f>MONTH('Solar Power Plant Data'!A259)</f>
        <v>11</v>
      </c>
      <c r="D260" s="21" t="str">
        <f>TEXT('Solar Power Plant Data'!A259,"ddd")</f>
        <v>Wed</v>
      </c>
      <c r="E260" s="21">
        <f t="shared" si="1"/>
        <v>0</v>
      </c>
      <c r="F260" s="19">
        <f t="array" ref="F260">IF(ROW()&lt;25,"",INDEX('Solar Power Plant Data'!H:H,ROW()-1))</f>
        <v>0</v>
      </c>
      <c r="G260" s="19">
        <f>IF(ROW()&lt;25,"",AVERAGE(OFFSET('Solar Power Plant Data'!H282,-23,0,24,1)))
</f>
        <v>188857.3333</v>
      </c>
      <c r="H260" s="21">
        <f>'Solar Power Plant Data'!H259/MAX('Solar Power Plant Data'!E259,0.0001)
</f>
        <v>0</v>
      </c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</row>
    <row r="261">
      <c r="A261" s="21">
        <f>HOUR('Solar Power Plant Data'!A260)</f>
        <v>18</v>
      </c>
      <c r="B261" s="21">
        <f>DAY('Solar Power Plant Data'!A260)</f>
        <v>1</v>
      </c>
      <c r="C261" s="21">
        <f>MONTH('Solar Power Plant Data'!A260)</f>
        <v>11</v>
      </c>
      <c r="D261" s="21" t="str">
        <f>TEXT('Solar Power Plant Data'!A260,"ddd")</f>
        <v>Wed</v>
      </c>
      <c r="E261" s="21">
        <f t="shared" si="1"/>
        <v>0</v>
      </c>
      <c r="F261" s="19">
        <f t="array" ref="F261">IF(ROW()&lt;25,"",INDEX('Solar Power Plant Data'!H:H,ROW()-1))</f>
        <v>0</v>
      </c>
      <c r="G261" s="19">
        <f>IF(ROW()&lt;25,"",AVERAGE(OFFSET('Solar Power Plant Data'!H283,-23,0,24,1)))
</f>
        <v>188857.3333</v>
      </c>
      <c r="H261" s="21">
        <f>'Solar Power Plant Data'!H260/MAX('Solar Power Plant Data'!E260,0.0001)
</f>
        <v>0</v>
      </c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</row>
    <row r="262">
      <c r="A262" s="21">
        <f>HOUR('Solar Power Plant Data'!A261)</f>
        <v>19</v>
      </c>
      <c r="B262" s="21">
        <f>DAY('Solar Power Plant Data'!A261)</f>
        <v>1</v>
      </c>
      <c r="C262" s="21">
        <f>MONTH('Solar Power Plant Data'!A261)</f>
        <v>11</v>
      </c>
      <c r="D262" s="21" t="str">
        <f>TEXT('Solar Power Plant Data'!A261,"ddd")</f>
        <v>Wed</v>
      </c>
      <c r="E262" s="21">
        <f t="shared" si="1"/>
        <v>0</v>
      </c>
      <c r="F262" s="19">
        <f t="array" ref="F262">IF(ROW()&lt;25,"",INDEX('Solar Power Plant Data'!H:H,ROW()-1))</f>
        <v>0</v>
      </c>
      <c r="G262" s="19">
        <f>IF(ROW()&lt;25,"",AVERAGE(OFFSET('Solar Power Plant Data'!H284,-23,0,24,1)))
</f>
        <v>188857.3333</v>
      </c>
      <c r="H262" s="21">
        <f>'Solar Power Plant Data'!H261/MAX('Solar Power Plant Data'!E261,0.0001)
</f>
        <v>0</v>
      </c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</row>
    <row r="263">
      <c r="A263" s="21">
        <f>HOUR('Solar Power Plant Data'!A262)</f>
        <v>20</v>
      </c>
      <c r="B263" s="21">
        <f>DAY('Solar Power Plant Data'!A262)</f>
        <v>1</v>
      </c>
      <c r="C263" s="21">
        <f>MONTH('Solar Power Plant Data'!A262)</f>
        <v>11</v>
      </c>
      <c r="D263" s="21" t="str">
        <f>TEXT('Solar Power Plant Data'!A262,"ddd")</f>
        <v>Wed</v>
      </c>
      <c r="E263" s="21">
        <f t="shared" si="1"/>
        <v>0</v>
      </c>
      <c r="F263" s="19">
        <f t="array" ref="F263">IF(ROW()&lt;25,"",INDEX('Solar Power Plant Data'!H:H,ROW()-1))</f>
        <v>0</v>
      </c>
      <c r="G263" s="19">
        <f>IF(ROW()&lt;25,"",AVERAGE(OFFSET('Solar Power Plant Data'!H285,-23,0,24,1)))
</f>
        <v>188857.3333</v>
      </c>
      <c r="H263" s="21">
        <f>'Solar Power Plant Data'!H262/MAX('Solar Power Plant Data'!E262,0.0001)
</f>
        <v>0</v>
      </c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</row>
    <row r="264">
      <c r="A264" s="21">
        <f>HOUR('Solar Power Plant Data'!A263)</f>
        <v>21</v>
      </c>
      <c r="B264" s="21">
        <f>DAY('Solar Power Plant Data'!A263)</f>
        <v>1</v>
      </c>
      <c r="C264" s="21">
        <f>MONTH('Solar Power Plant Data'!A263)</f>
        <v>11</v>
      </c>
      <c r="D264" s="21" t="str">
        <f>TEXT('Solar Power Plant Data'!A263,"ddd")</f>
        <v>Wed</v>
      </c>
      <c r="E264" s="21">
        <f t="shared" si="1"/>
        <v>0</v>
      </c>
      <c r="F264" s="19">
        <f t="array" ref="F264">IF(ROW()&lt;25,"",INDEX('Solar Power Plant Data'!H:H,ROW()-1))</f>
        <v>0</v>
      </c>
      <c r="G264" s="19">
        <f>IF(ROW()&lt;25,"",AVERAGE(OFFSET('Solar Power Plant Data'!H286,-23,0,24,1)))
</f>
        <v>188857.3333</v>
      </c>
      <c r="H264" s="21">
        <f>'Solar Power Plant Data'!H263/MAX('Solar Power Plant Data'!E263,0.0001)
</f>
        <v>0</v>
      </c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</row>
    <row r="265">
      <c r="A265" s="21">
        <f>HOUR('Solar Power Plant Data'!A264)</f>
        <v>22</v>
      </c>
      <c r="B265" s="21">
        <f>DAY('Solar Power Plant Data'!A264)</f>
        <v>1</v>
      </c>
      <c r="C265" s="21">
        <f>MONTH('Solar Power Plant Data'!A264)</f>
        <v>11</v>
      </c>
      <c r="D265" s="21" t="str">
        <f>TEXT('Solar Power Plant Data'!A264,"ddd")</f>
        <v>Wed</v>
      </c>
      <c r="E265" s="21">
        <f t="shared" si="1"/>
        <v>0</v>
      </c>
      <c r="F265" s="19">
        <f t="array" ref="F265">IF(ROW()&lt;25,"",INDEX('Solar Power Plant Data'!H:H,ROW()-1))</f>
        <v>0</v>
      </c>
      <c r="G265" s="19">
        <f>IF(ROW()&lt;25,"",AVERAGE(OFFSET('Solar Power Plant Data'!H287,-23,0,24,1)))
</f>
        <v>188857.3333</v>
      </c>
      <c r="H265" s="21">
        <f>'Solar Power Plant Data'!H264/MAX('Solar Power Plant Data'!E264,0.0001)
</f>
        <v>0</v>
      </c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</row>
    <row r="266">
      <c r="A266" s="21">
        <f>HOUR('Solar Power Plant Data'!A265)</f>
        <v>23</v>
      </c>
      <c r="B266" s="21">
        <f>DAY('Solar Power Plant Data'!A265)</f>
        <v>1</v>
      </c>
      <c r="C266" s="21">
        <f>MONTH('Solar Power Plant Data'!A265)</f>
        <v>11</v>
      </c>
      <c r="D266" s="21" t="str">
        <f>TEXT('Solar Power Plant Data'!A265,"ddd")</f>
        <v>Wed</v>
      </c>
      <c r="E266" s="21">
        <f t="shared" si="1"/>
        <v>0</v>
      </c>
      <c r="F266" s="19">
        <f t="array" ref="F266">IF(ROW()&lt;25,"",INDEX('Solar Power Plant Data'!H:H,ROW()-1))</f>
        <v>0</v>
      </c>
      <c r="G266" s="19">
        <f>IF(ROW()&lt;25,"",AVERAGE(OFFSET('Solar Power Plant Data'!H288,-23,0,24,1)))
</f>
        <v>188857.3333</v>
      </c>
      <c r="H266" s="21">
        <f>'Solar Power Plant Data'!H265/MAX('Solar Power Plant Data'!E265,0.0001)
</f>
        <v>0</v>
      </c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</row>
    <row r="267">
      <c r="A267" s="21">
        <f>HOUR('Solar Power Plant Data'!A266)</f>
        <v>0</v>
      </c>
      <c r="B267" s="21">
        <f>DAY('Solar Power Plant Data'!A266)</f>
        <v>1</v>
      </c>
      <c r="C267" s="21">
        <f>MONTH('Solar Power Plant Data'!A266)</f>
        <v>12</v>
      </c>
      <c r="D267" s="21" t="str">
        <f>TEXT('Solar Power Plant Data'!A266,"ddd")</f>
        <v>Fri</v>
      </c>
      <c r="E267" s="21">
        <f t="shared" si="1"/>
        <v>0</v>
      </c>
      <c r="F267" s="19">
        <f t="array" ref="F267">IF(ROW()&lt;25,"",INDEX('Solar Power Plant Data'!H:H,ROW()-1))</f>
        <v>0</v>
      </c>
      <c r="G267" s="19">
        <f>IF(ROW()&lt;25,"",AVERAGE(OFFSET('Solar Power Plant Data'!H289,-23,0,24,1)))
</f>
        <v>188857.3333</v>
      </c>
      <c r="H267" s="21">
        <f>'Solar Power Plant Data'!H266/MAX('Solar Power Plant Data'!E266,0.0001)
</f>
        <v>0</v>
      </c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</row>
    <row r="268">
      <c r="A268" s="21">
        <f>HOUR('Solar Power Plant Data'!A267)</f>
        <v>1</v>
      </c>
      <c r="B268" s="21">
        <f>DAY('Solar Power Plant Data'!A267)</f>
        <v>1</v>
      </c>
      <c r="C268" s="21">
        <f>MONTH('Solar Power Plant Data'!A267)</f>
        <v>12</v>
      </c>
      <c r="D268" s="21" t="str">
        <f>TEXT('Solar Power Plant Data'!A267,"ddd")</f>
        <v>Fri</v>
      </c>
      <c r="E268" s="21">
        <f t="shared" si="1"/>
        <v>0</v>
      </c>
      <c r="F268" s="19">
        <f t="array" ref="F268">IF(ROW()&lt;25,"",INDEX('Solar Power Plant Data'!H:H,ROW()-1))</f>
        <v>0</v>
      </c>
      <c r="G268" s="19">
        <f>IF(ROW()&lt;25,"",AVERAGE(OFFSET('Solar Power Plant Data'!H290,-23,0,24,1)))
</f>
        <v>188857.3333</v>
      </c>
      <c r="H268" s="21">
        <f>'Solar Power Plant Data'!H267/MAX('Solar Power Plant Data'!E267,0.0001)
</f>
        <v>0</v>
      </c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</row>
    <row r="269">
      <c r="A269" s="21">
        <f>HOUR('Solar Power Plant Data'!A268)</f>
        <v>2</v>
      </c>
      <c r="B269" s="21">
        <f>DAY('Solar Power Plant Data'!A268)</f>
        <v>1</v>
      </c>
      <c r="C269" s="21">
        <f>MONTH('Solar Power Plant Data'!A268)</f>
        <v>12</v>
      </c>
      <c r="D269" s="21" t="str">
        <f>TEXT('Solar Power Plant Data'!A268,"ddd")</f>
        <v>Fri</v>
      </c>
      <c r="E269" s="21">
        <f t="shared" si="1"/>
        <v>0</v>
      </c>
      <c r="F269" s="19">
        <f t="array" ref="F269">IF(ROW()&lt;25,"",INDEX('Solar Power Plant Data'!H:H,ROW()-1))</f>
        <v>0</v>
      </c>
      <c r="G269" s="19">
        <f>IF(ROW()&lt;25,"",AVERAGE(OFFSET('Solar Power Plant Data'!H291,-23,0,24,1)))
</f>
        <v>188857.3333</v>
      </c>
      <c r="H269" s="21">
        <f>'Solar Power Plant Data'!H268/MAX('Solar Power Plant Data'!E268,0.0001)
</f>
        <v>0</v>
      </c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</row>
    <row r="270">
      <c r="A270" s="21">
        <f>HOUR('Solar Power Plant Data'!A269)</f>
        <v>3</v>
      </c>
      <c r="B270" s="21">
        <f>DAY('Solar Power Plant Data'!A269)</f>
        <v>1</v>
      </c>
      <c r="C270" s="21">
        <f>MONTH('Solar Power Plant Data'!A269)</f>
        <v>12</v>
      </c>
      <c r="D270" s="21" t="str">
        <f>TEXT('Solar Power Plant Data'!A269,"ddd")</f>
        <v>Fri</v>
      </c>
      <c r="E270" s="21">
        <f t="shared" si="1"/>
        <v>0</v>
      </c>
      <c r="F270" s="19">
        <f t="array" ref="F270">IF(ROW()&lt;25,"",INDEX('Solar Power Plant Data'!H:H,ROW()-1))</f>
        <v>0</v>
      </c>
      <c r="G270" s="19">
        <f>IF(ROW()&lt;25,"",AVERAGE(OFFSET('Solar Power Plant Data'!H292,-23,0,24,1)))
</f>
        <v>188857.3333</v>
      </c>
      <c r="H270" s="21">
        <f>'Solar Power Plant Data'!H269/MAX('Solar Power Plant Data'!E269,0.0001)
</f>
        <v>0</v>
      </c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</row>
    <row r="271">
      <c r="A271" s="21">
        <f>HOUR('Solar Power Plant Data'!A270)</f>
        <v>4</v>
      </c>
      <c r="B271" s="21">
        <f>DAY('Solar Power Plant Data'!A270)</f>
        <v>1</v>
      </c>
      <c r="C271" s="21">
        <f>MONTH('Solar Power Plant Data'!A270)</f>
        <v>12</v>
      </c>
      <c r="D271" s="21" t="str">
        <f>TEXT('Solar Power Plant Data'!A270,"ddd")</f>
        <v>Fri</v>
      </c>
      <c r="E271" s="21">
        <f t="shared" si="1"/>
        <v>0</v>
      </c>
      <c r="F271" s="19">
        <f t="array" ref="F271">IF(ROW()&lt;25,"",INDEX('Solar Power Plant Data'!H:H,ROW()-1))</f>
        <v>0</v>
      </c>
      <c r="G271" s="19">
        <f>IF(ROW()&lt;25,"",AVERAGE(OFFSET('Solar Power Plant Data'!H293,-23,0,24,1)))
</f>
        <v>188857.3333</v>
      </c>
      <c r="H271" s="21">
        <f>'Solar Power Plant Data'!H270/MAX('Solar Power Plant Data'!E270,0.0001)
</f>
        <v>0</v>
      </c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</row>
    <row r="272">
      <c r="A272" s="21">
        <f>HOUR('Solar Power Plant Data'!A271)</f>
        <v>5</v>
      </c>
      <c r="B272" s="21">
        <f>DAY('Solar Power Plant Data'!A271)</f>
        <v>1</v>
      </c>
      <c r="C272" s="21">
        <f>MONTH('Solar Power Plant Data'!A271)</f>
        <v>12</v>
      </c>
      <c r="D272" s="21" t="str">
        <f>TEXT('Solar Power Plant Data'!A271,"ddd")</f>
        <v>Fri</v>
      </c>
      <c r="E272" s="21">
        <f t="shared" si="1"/>
        <v>0</v>
      </c>
      <c r="F272" s="19">
        <f t="array" ref="F272">IF(ROW()&lt;25,"",INDEX('Solar Power Plant Data'!H:H,ROW()-1))</f>
        <v>0</v>
      </c>
      <c r="G272" s="19">
        <f>IF(ROW()&lt;25,"",AVERAGE(OFFSET('Solar Power Plant Data'!H294,-23,0,24,1)))
</f>
        <v>188857.3333</v>
      </c>
      <c r="H272" s="21">
        <f>'Solar Power Plant Data'!H271/MAX('Solar Power Plant Data'!E271,0.0001)
</f>
        <v>0</v>
      </c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</row>
    <row r="273">
      <c r="A273" s="21">
        <f>HOUR('Solar Power Plant Data'!A272)</f>
        <v>6</v>
      </c>
      <c r="B273" s="21">
        <f>DAY('Solar Power Plant Data'!A272)</f>
        <v>1</v>
      </c>
      <c r="C273" s="21">
        <f>MONTH('Solar Power Plant Data'!A272)</f>
        <v>12</v>
      </c>
      <c r="D273" s="21" t="str">
        <f>TEXT('Solar Power Plant Data'!A272,"ddd")</f>
        <v>Fri</v>
      </c>
      <c r="E273" s="21">
        <f t="shared" si="1"/>
        <v>0</v>
      </c>
      <c r="F273" s="19">
        <f t="array" ref="F273">IF(ROW()&lt;25,"",INDEX('Solar Power Plant Data'!H:H,ROW()-1))</f>
        <v>0</v>
      </c>
      <c r="G273" s="19">
        <f>IF(ROW()&lt;25,"",AVERAGE(OFFSET('Solar Power Plant Data'!H295,-23,0,24,1)))
</f>
        <v>188857.3333</v>
      </c>
      <c r="H273" s="21">
        <f>'Solar Power Plant Data'!H272/MAX('Solar Power Plant Data'!E272,0.0001)
</f>
        <v>0</v>
      </c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</row>
    <row r="274">
      <c r="A274" s="21">
        <f>HOUR('Solar Power Plant Data'!A273)</f>
        <v>7</v>
      </c>
      <c r="B274" s="21">
        <f>DAY('Solar Power Plant Data'!A273)</f>
        <v>1</v>
      </c>
      <c r="C274" s="21">
        <f>MONTH('Solar Power Plant Data'!A273)</f>
        <v>12</v>
      </c>
      <c r="D274" s="21" t="str">
        <f>TEXT('Solar Power Plant Data'!A273,"ddd")</f>
        <v>Fri</v>
      </c>
      <c r="E274" s="21">
        <f t="shared" si="1"/>
        <v>0</v>
      </c>
      <c r="F274" s="19">
        <f t="array" ref="F274">IF(ROW()&lt;25,"",INDEX('Solar Power Plant Data'!H:H,ROW()-1))</f>
        <v>0</v>
      </c>
      <c r="G274" s="19">
        <f>IF(ROW()&lt;25,"",AVERAGE(OFFSET('Solar Power Plant Data'!H296,-23,0,24,1)))
</f>
        <v>188857.3333</v>
      </c>
      <c r="H274" s="21">
        <f>'Solar Power Plant Data'!H273/MAX('Solar Power Plant Data'!E273,0.0001)
</f>
        <v>0</v>
      </c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</row>
    <row r="275">
      <c r="A275" s="21">
        <f>HOUR('Solar Power Plant Data'!A274)</f>
        <v>8</v>
      </c>
      <c r="B275" s="21">
        <f>DAY('Solar Power Plant Data'!A274)</f>
        <v>1</v>
      </c>
      <c r="C275" s="21">
        <f>MONTH('Solar Power Plant Data'!A274)</f>
        <v>12</v>
      </c>
      <c r="D275" s="21" t="str">
        <f>TEXT('Solar Power Plant Data'!A274,"ddd")</f>
        <v>Fri</v>
      </c>
      <c r="E275" s="21">
        <f t="shared" si="1"/>
        <v>0</v>
      </c>
      <c r="F275" s="19">
        <f t="array" ref="F275">IF(ROW()&lt;25,"",INDEX('Solar Power Plant Data'!H:H,ROW()-1))</f>
        <v>0</v>
      </c>
      <c r="G275" s="19">
        <f>IF(ROW()&lt;25,"",AVERAGE(OFFSET('Solar Power Plant Data'!H297,-23,0,24,1)))
</f>
        <v>188857.3333</v>
      </c>
      <c r="H275" s="21">
        <f>'Solar Power Plant Data'!H274/MAX('Solar Power Plant Data'!E274,0.0001)
</f>
        <v>0</v>
      </c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</row>
    <row r="276">
      <c r="A276" s="21">
        <f>HOUR('Solar Power Plant Data'!A275)</f>
        <v>9</v>
      </c>
      <c r="B276" s="21">
        <f>DAY('Solar Power Plant Data'!A275)</f>
        <v>1</v>
      </c>
      <c r="C276" s="21">
        <f>MONTH('Solar Power Plant Data'!A275)</f>
        <v>12</v>
      </c>
      <c r="D276" s="21" t="str">
        <f>TEXT('Solar Power Plant Data'!A275,"ddd")</f>
        <v>Fri</v>
      </c>
      <c r="E276" s="21">
        <f t="shared" si="1"/>
        <v>0</v>
      </c>
      <c r="F276" s="19">
        <f t="array" ref="F276">IF(ROW()&lt;25,"",INDEX('Solar Power Plant Data'!H:H,ROW()-1))</f>
        <v>0</v>
      </c>
      <c r="G276" s="19">
        <f>IF(ROW()&lt;25,"",AVERAGE(OFFSET('Solar Power Plant Data'!H298,-23,0,24,1)))
</f>
        <v>188857.3333</v>
      </c>
      <c r="H276" s="21">
        <f>'Solar Power Plant Data'!H275/MAX('Solar Power Plant Data'!E275,0.0001)
</f>
        <v>0</v>
      </c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</row>
    <row r="277">
      <c r="A277" s="21">
        <f>HOUR('Solar Power Plant Data'!A276)</f>
        <v>10</v>
      </c>
      <c r="B277" s="21">
        <f>DAY('Solar Power Plant Data'!A276)</f>
        <v>1</v>
      </c>
      <c r="C277" s="21">
        <f>MONTH('Solar Power Plant Data'!A276)</f>
        <v>12</v>
      </c>
      <c r="D277" s="21" t="str">
        <f>TEXT('Solar Power Plant Data'!A276,"ddd")</f>
        <v>Fri</v>
      </c>
      <c r="E277" s="21">
        <f t="shared" si="1"/>
        <v>0</v>
      </c>
      <c r="F277" s="19">
        <f t="array" ref="F277">IF(ROW()&lt;25,"",INDEX('Solar Power Plant Data'!H:H,ROW()-1))</f>
        <v>0</v>
      </c>
      <c r="G277" s="19">
        <f>IF(ROW()&lt;25,"",AVERAGE(OFFSET('Solar Power Plant Data'!H299,-23,0,24,1)))
</f>
        <v>188857.3333</v>
      </c>
      <c r="H277" s="21">
        <f>'Solar Power Plant Data'!H276/MAX('Solar Power Plant Data'!E276,0.0001)
</f>
        <v>0</v>
      </c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</row>
    <row r="278">
      <c r="A278" s="21">
        <f>HOUR('Solar Power Plant Data'!A277)</f>
        <v>11</v>
      </c>
      <c r="B278" s="21">
        <f>DAY('Solar Power Plant Data'!A277)</f>
        <v>1</v>
      </c>
      <c r="C278" s="21">
        <f>MONTH('Solar Power Plant Data'!A277)</f>
        <v>12</v>
      </c>
      <c r="D278" s="21" t="str">
        <f>TEXT('Solar Power Plant Data'!A277,"ddd")</f>
        <v>Fri</v>
      </c>
      <c r="E278" s="21">
        <f t="shared" si="1"/>
        <v>0</v>
      </c>
      <c r="F278" s="19">
        <f t="array" ref="F278">IF(ROW()&lt;25,"",INDEX('Solar Power Plant Data'!H:H,ROW()-1))</f>
        <v>113</v>
      </c>
      <c r="G278" s="19">
        <f>IF(ROW()&lt;25,"",AVERAGE(OFFSET('Solar Power Plant Data'!H300,-23,0,24,1)))
</f>
        <v>188857.3333</v>
      </c>
      <c r="H278" s="21">
        <f>'Solar Power Plant Data'!H277/MAX('Solar Power Plant Data'!E277,0.0001)
</f>
        <v>1130000</v>
      </c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</row>
    <row r="279">
      <c r="A279" s="21">
        <f>HOUR('Solar Power Plant Data'!A278)</f>
        <v>12</v>
      </c>
      <c r="B279" s="21">
        <f>DAY('Solar Power Plant Data'!A278)</f>
        <v>1</v>
      </c>
      <c r="C279" s="21">
        <f>MONTH('Solar Power Plant Data'!A278)</f>
        <v>12</v>
      </c>
      <c r="D279" s="21" t="str">
        <f>TEXT('Solar Power Plant Data'!A278,"ddd")</f>
        <v>Fri</v>
      </c>
      <c r="E279" s="21">
        <f t="shared" si="1"/>
        <v>0</v>
      </c>
      <c r="F279" s="19">
        <f t="array" ref="F279">IF(ROW()&lt;25,"",INDEX('Solar Power Plant Data'!H:H,ROW()-1))</f>
        <v>368</v>
      </c>
      <c r="G279" s="19">
        <f>IF(ROW()&lt;25,"",AVERAGE(OFFSET('Solar Power Plant Data'!H301,-23,0,24,1)))
</f>
        <v>269894.3333</v>
      </c>
      <c r="H279" s="21">
        <f>'Solar Power Plant Data'!H278/MAX('Solar Power Plant Data'!E278,0.0001)
</f>
        <v>3680000</v>
      </c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</row>
    <row r="280">
      <c r="A280" s="21">
        <f>HOUR('Solar Power Plant Data'!A279)</f>
        <v>13</v>
      </c>
      <c r="B280" s="21">
        <f>DAY('Solar Power Plant Data'!A279)</f>
        <v>1</v>
      </c>
      <c r="C280" s="21">
        <f>MONTH('Solar Power Plant Data'!A279)</f>
        <v>12</v>
      </c>
      <c r="D280" s="21" t="str">
        <f>TEXT('Solar Power Plant Data'!A279,"ddd")</f>
        <v>Fri</v>
      </c>
      <c r="E280" s="21">
        <f t="shared" si="1"/>
        <v>0</v>
      </c>
      <c r="F280" s="19">
        <f t="array" ref="F280">IF(ROW()&lt;25,"",INDEX('Solar Power Plant Data'!H:H,ROW()-1))</f>
        <v>429</v>
      </c>
      <c r="G280" s="19">
        <f>IF(ROW()&lt;25,"",AVERAGE(OFFSET('Solar Power Plant Data'!H302,-23,0,24,1)))
</f>
        <v>829323.4167</v>
      </c>
      <c r="H280" s="21">
        <f>'Solar Power Plant Data'!H279/MAX('Solar Power Plant Data'!E279,0.0001)
</f>
        <v>7.396551724</v>
      </c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</row>
    <row r="281">
      <c r="A281" s="21">
        <f>HOUR('Solar Power Plant Data'!A280)</f>
        <v>14</v>
      </c>
      <c r="B281" s="21">
        <f>DAY('Solar Power Plant Data'!A280)</f>
        <v>1</v>
      </c>
      <c r="C281" s="21">
        <f>MONTH('Solar Power Plant Data'!A280)</f>
        <v>12</v>
      </c>
      <c r="D281" s="21" t="str">
        <f>TEXT('Solar Power Plant Data'!A280,"ddd")</f>
        <v>Fri</v>
      </c>
      <c r="E281" s="21">
        <f t="shared" si="1"/>
        <v>0</v>
      </c>
      <c r="F281" s="19">
        <f t="array" ref="F281">IF(ROW()&lt;25,"",INDEX('Solar Power Plant Data'!H:H,ROW()-1))</f>
        <v>4143333</v>
      </c>
      <c r="G281" s="19">
        <f>IF(ROW()&lt;25,"",AVERAGE(OFFSET('Solar Power Plant Data'!H303,-23,0,24,1)))
</f>
        <v>1264374.958</v>
      </c>
      <c r="H281" s="21">
        <f>'Solar Power Plant Data'!H280/MAX('Solar Power Plant Data'!E280,0.0001)
</f>
        <v>41433330000</v>
      </c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</row>
    <row r="282">
      <c r="A282" s="21">
        <f>HOUR('Solar Power Plant Data'!A281)</f>
        <v>15</v>
      </c>
      <c r="B282" s="21">
        <f>DAY('Solar Power Plant Data'!A281)</f>
        <v>1</v>
      </c>
      <c r="C282" s="21">
        <f>MONTH('Solar Power Plant Data'!A281)</f>
        <v>12</v>
      </c>
      <c r="D282" s="21" t="str">
        <f>TEXT('Solar Power Plant Data'!A281,"ddd")</f>
        <v>Fri</v>
      </c>
      <c r="E282" s="21">
        <f t="shared" si="1"/>
        <v>0</v>
      </c>
      <c r="F282" s="19">
        <f t="array" ref="F282">IF(ROW()&lt;25,"",INDEX('Solar Power Plant Data'!H:H,ROW()-1))</f>
        <v>388333</v>
      </c>
      <c r="G282" s="19">
        <f>IF(ROW()&lt;25,"",AVERAGE(OFFSET('Solar Power Plant Data'!H304,-23,0,24,1)))
</f>
        <v>1171874.958</v>
      </c>
      <c r="H282" s="21">
        <f>'Solar Power Plant Data'!H281/MAX('Solar Power Plant Data'!E281,0.0001)
</f>
        <v>29871.76923</v>
      </c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</row>
    <row r="283">
      <c r="A283" s="21">
        <f>HOUR('Solar Power Plant Data'!A282)</f>
        <v>16</v>
      </c>
      <c r="B283" s="21">
        <f>DAY('Solar Power Plant Data'!A282)</f>
        <v>1</v>
      </c>
      <c r="C283" s="21">
        <f>MONTH('Solar Power Plant Data'!A282)</f>
        <v>12</v>
      </c>
      <c r="D283" s="21" t="str">
        <f>TEXT('Solar Power Plant Data'!A282,"ddd")</f>
        <v>Fri</v>
      </c>
      <c r="E283" s="21">
        <f t="shared" si="1"/>
        <v>0</v>
      </c>
      <c r="F283" s="19">
        <f t="array" ref="F283">IF(ROW()&lt;25,"",INDEX('Solar Power Plant Data'!H:H,ROW()-1))</f>
        <v>0</v>
      </c>
      <c r="G283" s="19">
        <f>IF(ROW()&lt;25,"",AVERAGE(OFFSET('Solar Power Plant Data'!H305,-23,0,24,1)))
</f>
        <v>1201944.375</v>
      </c>
      <c r="H283" s="21">
        <f>'Solar Power Plant Data'!H282/MAX('Solar Power Plant Data'!E282,0.0001)
</f>
        <v>0</v>
      </c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</row>
    <row r="284">
      <c r="A284" s="21">
        <f>HOUR('Solar Power Plant Data'!A283)</f>
        <v>17</v>
      </c>
      <c r="B284" s="21">
        <f>DAY('Solar Power Plant Data'!A283)</f>
        <v>1</v>
      </c>
      <c r="C284" s="21">
        <f>MONTH('Solar Power Plant Data'!A283)</f>
        <v>12</v>
      </c>
      <c r="D284" s="21" t="str">
        <f>TEXT('Solar Power Plant Data'!A283,"ddd")</f>
        <v>Fri</v>
      </c>
      <c r="E284" s="21">
        <f t="shared" si="1"/>
        <v>0</v>
      </c>
      <c r="F284" s="19">
        <f t="array" ref="F284">IF(ROW()&lt;25,"",INDEX('Solar Power Plant Data'!H:H,ROW()-1))</f>
        <v>0</v>
      </c>
      <c r="G284" s="19">
        <f>IF(ROW()&lt;25,"",AVERAGE(OFFSET('Solar Power Plant Data'!H306,-23,0,24,1)))
</f>
        <v>1201944.375</v>
      </c>
      <c r="H284" s="21">
        <f>'Solar Power Plant Data'!H283/MAX('Solar Power Plant Data'!E283,0.0001)
</f>
        <v>0</v>
      </c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</row>
    <row r="285">
      <c r="A285" s="21">
        <f>HOUR('Solar Power Plant Data'!A284)</f>
        <v>18</v>
      </c>
      <c r="B285" s="21">
        <f>DAY('Solar Power Plant Data'!A284)</f>
        <v>1</v>
      </c>
      <c r="C285" s="21">
        <f>MONTH('Solar Power Plant Data'!A284)</f>
        <v>12</v>
      </c>
      <c r="D285" s="21" t="str">
        <f>TEXT('Solar Power Plant Data'!A284,"ddd")</f>
        <v>Fri</v>
      </c>
      <c r="E285" s="21">
        <f t="shared" si="1"/>
        <v>0</v>
      </c>
      <c r="F285" s="19">
        <f t="array" ref="F285">IF(ROW()&lt;25,"",INDEX('Solar Power Plant Data'!H:H,ROW()-1))</f>
        <v>0</v>
      </c>
      <c r="G285" s="19">
        <f>IF(ROW()&lt;25,"",AVERAGE(OFFSET('Solar Power Plant Data'!H307,-23,0,24,1)))
</f>
        <v>1201944.375</v>
      </c>
      <c r="H285" s="21">
        <f>'Solar Power Plant Data'!H284/MAX('Solar Power Plant Data'!E284,0.0001)
</f>
        <v>0</v>
      </c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</row>
    <row r="286">
      <c r="A286" s="21">
        <f>HOUR('Solar Power Plant Data'!A285)</f>
        <v>19</v>
      </c>
      <c r="B286" s="21">
        <f>DAY('Solar Power Plant Data'!A285)</f>
        <v>1</v>
      </c>
      <c r="C286" s="21">
        <f>MONTH('Solar Power Plant Data'!A285)</f>
        <v>12</v>
      </c>
      <c r="D286" s="21" t="str">
        <f>TEXT('Solar Power Plant Data'!A285,"ddd")</f>
        <v>Fri</v>
      </c>
      <c r="E286" s="21">
        <f t="shared" si="1"/>
        <v>0</v>
      </c>
      <c r="F286" s="19">
        <f t="array" ref="F286">IF(ROW()&lt;25,"",INDEX('Solar Power Plant Data'!H:H,ROW()-1))</f>
        <v>0</v>
      </c>
      <c r="G286" s="19">
        <f>IF(ROW()&lt;25,"",AVERAGE(OFFSET('Solar Power Plant Data'!H308,-23,0,24,1)))
</f>
        <v>1201944.375</v>
      </c>
      <c r="H286" s="21">
        <f>'Solar Power Plant Data'!H285/MAX('Solar Power Plant Data'!E285,0.0001)
</f>
        <v>0</v>
      </c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</row>
    <row r="287">
      <c r="A287" s="21">
        <f>HOUR('Solar Power Plant Data'!A286)</f>
        <v>20</v>
      </c>
      <c r="B287" s="21">
        <f>DAY('Solar Power Plant Data'!A286)</f>
        <v>1</v>
      </c>
      <c r="C287" s="21">
        <f>MONTH('Solar Power Plant Data'!A286)</f>
        <v>12</v>
      </c>
      <c r="D287" s="21" t="str">
        <f>TEXT('Solar Power Plant Data'!A286,"ddd")</f>
        <v>Fri</v>
      </c>
      <c r="E287" s="21">
        <f t="shared" si="1"/>
        <v>0</v>
      </c>
      <c r="F287" s="19">
        <f t="array" ref="F287">IF(ROW()&lt;25,"",INDEX('Solar Power Plant Data'!H:H,ROW()-1))</f>
        <v>0</v>
      </c>
      <c r="G287" s="19">
        <f>IF(ROW()&lt;25,"",AVERAGE(OFFSET('Solar Power Plant Data'!H309,-23,0,24,1)))
</f>
        <v>1201944.375</v>
      </c>
      <c r="H287" s="21">
        <f>'Solar Power Plant Data'!H286/MAX('Solar Power Plant Data'!E286,0.0001)
</f>
        <v>0</v>
      </c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</row>
    <row r="288">
      <c r="A288" s="21">
        <f>HOUR('Solar Power Plant Data'!A287)</f>
        <v>21</v>
      </c>
      <c r="B288" s="21">
        <f>DAY('Solar Power Plant Data'!A287)</f>
        <v>1</v>
      </c>
      <c r="C288" s="21">
        <f>MONTH('Solar Power Plant Data'!A287)</f>
        <v>12</v>
      </c>
      <c r="D288" s="21" t="str">
        <f>TEXT('Solar Power Plant Data'!A287,"ddd")</f>
        <v>Fri</v>
      </c>
      <c r="E288" s="21">
        <f t="shared" si="1"/>
        <v>0</v>
      </c>
      <c r="F288" s="19">
        <f t="array" ref="F288">IF(ROW()&lt;25,"",INDEX('Solar Power Plant Data'!H:H,ROW()-1))</f>
        <v>0</v>
      </c>
      <c r="G288" s="19">
        <f>IF(ROW()&lt;25,"",AVERAGE(OFFSET('Solar Power Plant Data'!H310,-23,0,24,1)))
</f>
        <v>1201944.375</v>
      </c>
      <c r="H288" s="21">
        <f>'Solar Power Plant Data'!H287/MAX('Solar Power Plant Data'!E287,0.0001)
</f>
        <v>0</v>
      </c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</row>
    <row r="289">
      <c r="A289" s="21">
        <f>HOUR('Solar Power Plant Data'!A288)</f>
        <v>22</v>
      </c>
      <c r="B289" s="21">
        <f>DAY('Solar Power Plant Data'!A288)</f>
        <v>1</v>
      </c>
      <c r="C289" s="21">
        <f>MONTH('Solar Power Plant Data'!A288)</f>
        <v>12</v>
      </c>
      <c r="D289" s="21" t="str">
        <f>TEXT('Solar Power Plant Data'!A288,"ddd")</f>
        <v>Fri</v>
      </c>
      <c r="E289" s="21">
        <f t="shared" si="1"/>
        <v>0</v>
      </c>
      <c r="F289" s="19">
        <f t="array" ref="F289">IF(ROW()&lt;25,"",INDEX('Solar Power Plant Data'!H:H,ROW()-1))</f>
        <v>0</v>
      </c>
      <c r="G289" s="19">
        <f>IF(ROW()&lt;25,"",AVERAGE(OFFSET('Solar Power Plant Data'!H311,-23,0,24,1)))
</f>
        <v>1201944.375</v>
      </c>
      <c r="H289" s="21">
        <f>'Solar Power Plant Data'!H288/MAX('Solar Power Plant Data'!E288,0.0001)
</f>
        <v>0</v>
      </c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</row>
    <row r="290">
      <c r="A290" s="21">
        <f>HOUR('Solar Power Plant Data'!A289)</f>
        <v>23</v>
      </c>
      <c r="B290" s="21">
        <f>DAY('Solar Power Plant Data'!A289)</f>
        <v>1</v>
      </c>
      <c r="C290" s="21">
        <f>MONTH('Solar Power Plant Data'!A289)</f>
        <v>12</v>
      </c>
      <c r="D290" s="21" t="str">
        <f>TEXT('Solar Power Plant Data'!A289,"ddd")</f>
        <v>Fri</v>
      </c>
      <c r="E290" s="21">
        <f t="shared" si="1"/>
        <v>0</v>
      </c>
      <c r="F290" s="19">
        <f t="array" ref="F290">IF(ROW()&lt;25,"",INDEX('Solar Power Plant Data'!H:H,ROW()-1))</f>
        <v>0</v>
      </c>
      <c r="G290" s="19">
        <f>IF(ROW()&lt;25,"",AVERAGE(OFFSET('Solar Power Plant Data'!H312,-23,0,24,1)))
</f>
        <v>1201944.375</v>
      </c>
      <c r="H290" s="21">
        <f>'Solar Power Plant Data'!H289/MAX('Solar Power Plant Data'!E289,0.0001)
</f>
        <v>0</v>
      </c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</row>
    <row r="291">
      <c r="A291" s="21">
        <f>HOUR('Solar Power Plant Data'!A290)</f>
        <v>0</v>
      </c>
      <c r="B291" s="21">
        <f>DAY('Solar Power Plant Data'!A290)</f>
        <v>13</v>
      </c>
      <c r="C291" s="21">
        <f>MONTH('Solar Power Plant Data'!A290)</f>
        <v>1</v>
      </c>
      <c r="D291" s="21" t="str">
        <f>TEXT('Solar Power Plant Data'!A290,"ddd")</f>
        <v>Fri</v>
      </c>
      <c r="E291" s="21">
        <f t="shared" si="1"/>
        <v>0</v>
      </c>
      <c r="F291" s="19">
        <f t="array" ref="F291">IF(ROW()&lt;25,"",INDEX('Solar Power Plant Data'!H:H,ROW()-1))</f>
        <v>0</v>
      </c>
      <c r="G291" s="19">
        <f>IF(ROW()&lt;25,"",AVERAGE(OFFSET('Solar Power Plant Data'!H313,-23,0,24,1)))
</f>
        <v>1201944.375</v>
      </c>
      <c r="H291" s="21">
        <f>'Solar Power Plant Data'!H290/MAX('Solar Power Plant Data'!E290,0.0001)
</f>
        <v>0</v>
      </c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</row>
    <row r="292">
      <c r="A292" s="21">
        <f>HOUR('Solar Power Plant Data'!A291)</f>
        <v>1</v>
      </c>
      <c r="B292" s="21">
        <f>DAY('Solar Power Plant Data'!A291)</f>
        <v>13</v>
      </c>
      <c r="C292" s="21">
        <f>MONTH('Solar Power Plant Data'!A291)</f>
        <v>1</v>
      </c>
      <c r="D292" s="21" t="str">
        <f>TEXT('Solar Power Plant Data'!A291,"ddd")</f>
        <v>Fri</v>
      </c>
      <c r="E292" s="21">
        <f t="shared" si="1"/>
        <v>0</v>
      </c>
      <c r="F292" s="19">
        <f t="array" ref="F292">IF(ROW()&lt;25,"",INDEX('Solar Power Plant Data'!H:H,ROW()-1))</f>
        <v>0</v>
      </c>
      <c r="G292" s="19">
        <f>IF(ROW()&lt;25,"",AVERAGE(OFFSET('Solar Power Plant Data'!H314,-23,0,24,1)))
</f>
        <v>1201944.375</v>
      </c>
      <c r="H292" s="21">
        <f>'Solar Power Plant Data'!H291/MAX('Solar Power Plant Data'!E291,0.0001)
</f>
        <v>0</v>
      </c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</row>
    <row r="293">
      <c r="A293" s="21">
        <f>HOUR('Solar Power Plant Data'!A292)</f>
        <v>2</v>
      </c>
      <c r="B293" s="21">
        <f>DAY('Solar Power Plant Data'!A292)</f>
        <v>13</v>
      </c>
      <c r="C293" s="21">
        <f>MONTH('Solar Power Plant Data'!A292)</f>
        <v>1</v>
      </c>
      <c r="D293" s="21" t="str">
        <f>TEXT('Solar Power Plant Data'!A292,"ddd")</f>
        <v>Fri</v>
      </c>
      <c r="E293" s="21">
        <f t="shared" si="1"/>
        <v>0</v>
      </c>
      <c r="F293" s="19">
        <f t="array" ref="F293">IF(ROW()&lt;25,"",INDEX('Solar Power Plant Data'!H:H,ROW()-1))</f>
        <v>0</v>
      </c>
      <c r="G293" s="19">
        <f>IF(ROW()&lt;25,"",AVERAGE(OFFSET('Solar Power Plant Data'!H315,-23,0,24,1)))
</f>
        <v>1201944.375</v>
      </c>
      <c r="H293" s="21">
        <f>'Solar Power Plant Data'!H292/MAX('Solar Power Plant Data'!E292,0.0001)
</f>
        <v>0</v>
      </c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</row>
    <row r="294">
      <c r="A294" s="21">
        <f>HOUR('Solar Power Plant Data'!A293)</f>
        <v>2</v>
      </c>
      <c r="B294" s="21">
        <f>DAY('Solar Power Plant Data'!A293)</f>
        <v>14</v>
      </c>
      <c r="C294" s="21">
        <f>MONTH('Solar Power Plant Data'!A293)</f>
        <v>1</v>
      </c>
      <c r="D294" s="21" t="str">
        <f>TEXT('Solar Power Plant Data'!A293,"ddd")</f>
        <v>Sat</v>
      </c>
      <c r="E294" s="21">
        <f t="shared" si="1"/>
        <v>1</v>
      </c>
      <c r="F294" s="19">
        <f t="array" ref="F294">IF(ROW()&lt;25,"",INDEX('Solar Power Plant Data'!H:H,ROW()-1))</f>
        <v>0</v>
      </c>
      <c r="G294" s="19">
        <f>IF(ROW()&lt;25,"",AVERAGE(OFFSET('Solar Power Plant Data'!H316,-23,0,24,1)))
</f>
        <v>1201944.375</v>
      </c>
      <c r="H294" s="21">
        <f>'Solar Power Plant Data'!H293/MAX('Solar Power Plant Data'!E293,0.0001)
</f>
        <v>0</v>
      </c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</row>
    <row r="295">
      <c r="A295" s="21">
        <f>HOUR('Solar Power Plant Data'!A294)</f>
        <v>2</v>
      </c>
      <c r="B295" s="21">
        <f>DAY('Solar Power Plant Data'!A294)</f>
        <v>15</v>
      </c>
      <c r="C295" s="21">
        <f>MONTH('Solar Power Plant Data'!A294)</f>
        <v>1</v>
      </c>
      <c r="D295" s="21" t="str">
        <f>TEXT('Solar Power Plant Data'!A294,"ddd")</f>
        <v>Sun</v>
      </c>
      <c r="E295" s="21">
        <f t="shared" si="1"/>
        <v>1</v>
      </c>
      <c r="F295" s="19">
        <f t="array" ref="F295">IF(ROW()&lt;25,"",INDEX('Solar Power Plant Data'!H:H,ROW()-1))</f>
        <v>0</v>
      </c>
      <c r="G295" s="19">
        <f>IF(ROW()&lt;25,"",AVERAGE(OFFSET('Solar Power Plant Data'!H317,-23,0,24,1)))
</f>
        <v>1201944.375</v>
      </c>
      <c r="H295" s="21">
        <f>'Solar Power Plant Data'!H294/MAX('Solar Power Plant Data'!E294,0.0001)
</f>
        <v>0</v>
      </c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</row>
    <row r="296">
      <c r="A296" s="21">
        <f>HOUR('Solar Power Plant Data'!A295)</f>
        <v>2</v>
      </c>
      <c r="B296" s="21">
        <f>DAY('Solar Power Plant Data'!A295)</f>
        <v>16</v>
      </c>
      <c r="C296" s="21">
        <f>MONTH('Solar Power Plant Data'!A295)</f>
        <v>1</v>
      </c>
      <c r="D296" s="21" t="str">
        <f>TEXT('Solar Power Plant Data'!A295,"ddd")</f>
        <v>Mon</v>
      </c>
      <c r="E296" s="21">
        <f t="shared" si="1"/>
        <v>0</v>
      </c>
      <c r="F296" s="19">
        <f t="array" ref="F296">IF(ROW()&lt;25,"",INDEX('Solar Power Plant Data'!H:H,ROW()-1))</f>
        <v>0</v>
      </c>
      <c r="G296" s="19">
        <f>IF(ROW()&lt;25,"",AVERAGE(OFFSET('Solar Power Plant Data'!H318,-23,0,24,1)))
</f>
        <v>1201944.375</v>
      </c>
      <c r="H296" s="21">
        <f>'Solar Power Plant Data'!H295/MAX('Solar Power Plant Data'!E295,0.0001)
</f>
        <v>0</v>
      </c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</row>
    <row r="297">
      <c r="A297" s="21">
        <f>HOUR('Solar Power Plant Data'!A296)</f>
        <v>2</v>
      </c>
      <c r="B297" s="21">
        <f>DAY('Solar Power Plant Data'!A296)</f>
        <v>17</v>
      </c>
      <c r="C297" s="21">
        <f>MONTH('Solar Power Plant Data'!A296)</f>
        <v>1</v>
      </c>
      <c r="D297" s="21" t="str">
        <f>TEXT('Solar Power Plant Data'!A296,"ddd")</f>
        <v>Tue</v>
      </c>
      <c r="E297" s="21">
        <f t="shared" si="1"/>
        <v>0</v>
      </c>
      <c r="F297" s="19">
        <f t="array" ref="F297">IF(ROW()&lt;25,"",INDEX('Solar Power Plant Data'!H:H,ROW()-1))</f>
        <v>0</v>
      </c>
      <c r="G297" s="19">
        <f>IF(ROW()&lt;25,"",AVERAGE(OFFSET('Solar Power Plant Data'!H319,-23,0,24,1)))
</f>
        <v>1201944.375</v>
      </c>
      <c r="H297" s="21">
        <f>'Solar Power Plant Data'!H296/MAX('Solar Power Plant Data'!E296,0.0001)
</f>
        <v>0</v>
      </c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</row>
    <row r="298">
      <c r="A298" s="21">
        <f>HOUR('Solar Power Plant Data'!A297)</f>
        <v>2</v>
      </c>
      <c r="B298" s="21">
        <f>DAY('Solar Power Plant Data'!A297)</f>
        <v>18</v>
      </c>
      <c r="C298" s="21">
        <f>MONTH('Solar Power Plant Data'!A297)</f>
        <v>1</v>
      </c>
      <c r="D298" s="21" t="str">
        <f>TEXT('Solar Power Plant Data'!A297,"ddd")</f>
        <v>Wed</v>
      </c>
      <c r="E298" s="21">
        <f t="shared" si="1"/>
        <v>0</v>
      </c>
      <c r="F298" s="19">
        <f t="array" ref="F298">IF(ROW()&lt;25,"",INDEX('Solar Power Plant Data'!H:H,ROW()-1))</f>
        <v>0</v>
      </c>
      <c r="G298" s="19">
        <f>IF(ROW()&lt;25,"",AVERAGE(OFFSET('Solar Power Plant Data'!H320,-23,0,24,1)))
</f>
        <v>1201944.375</v>
      </c>
      <c r="H298" s="21">
        <f>'Solar Power Plant Data'!H297/MAX('Solar Power Plant Data'!E297,0.0001)
</f>
        <v>0</v>
      </c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</row>
    <row r="299">
      <c r="A299" s="21">
        <f>HOUR('Solar Power Plant Data'!A298)</f>
        <v>2</v>
      </c>
      <c r="B299" s="21">
        <f>DAY('Solar Power Plant Data'!A298)</f>
        <v>19</v>
      </c>
      <c r="C299" s="21">
        <f>MONTH('Solar Power Plant Data'!A298)</f>
        <v>1</v>
      </c>
      <c r="D299" s="21" t="str">
        <f>TEXT('Solar Power Plant Data'!A298,"ddd")</f>
        <v>Thu</v>
      </c>
      <c r="E299" s="21">
        <f t="shared" si="1"/>
        <v>0</v>
      </c>
      <c r="F299" s="19">
        <f t="array" ref="F299">IF(ROW()&lt;25,"",INDEX('Solar Power Plant Data'!H:H,ROW()-1))</f>
        <v>0</v>
      </c>
      <c r="G299" s="19">
        <f>IF(ROW()&lt;25,"",AVERAGE(OFFSET('Solar Power Plant Data'!H321,-23,0,24,1)))
</f>
        <v>1201944.375</v>
      </c>
      <c r="H299" s="21">
        <f>'Solar Power Plant Data'!H298/MAX('Solar Power Plant Data'!E298,0.0001)
</f>
        <v>0</v>
      </c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</row>
    <row r="300">
      <c r="A300" s="21">
        <f>HOUR('Solar Power Plant Data'!A299)</f>
        <v>2</v>
      </c>
      <c r="B300" s="21">
        <f>DAY('Solar Power Plant Data'!A299)</f>
        <v>20</v>
      </c>
      <c r="C300" s="21">
        <f>MONTH('Solar Power Plant Data'!A299)</f>
        <v>1</v>
      </c>
      <c r="D300" s="21" t="str">
        <f>TEXT('Solar Power Plant Data'!A299,"ddd")</f>
        <v>Fri</v>
      </c>
      <c r="E300" s="21">
        <f t="shared" si="1"/>
        <v>0</v>
      </c>
      <c r="F300" s="19">
        <f t="array" ref="F300">IF(ROW()&lt;25,"",INDEX('Solar Power Plant Data'!H:H,ROW()-1))</f>
        <v>0</v>
      </c>
      <c r="G300" s="19">
        <f>IF(ROW()&lt;25,"",AVERAGE(OFFSET('Solar Power Plant Data'!H322,-23,0,24,1)))
</f>
        <v>1201944.375</v>
      </c>
      <c r="H300" s="21">
        <f>'Solar Power Plant Data'!H299/MAX('Solar Power Plant Data'!E299,0.0001)
</f>
        <v>0</v>
      </c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</row>
    <row r="301">
      <c r="A301" s="21">
        <f>HOUR('Solar Power Plant Data'!A300)</f>
        <v>2</v>
      </c>
      <c r="B301" s="21">
        <f>DAY('Solar Power Plant Data'!A300)</f>
        <v>21</v>
      </c>
      <c r="C301" s="21">
        <f>MONTH('Solar Power Plant Data'!A300)</f>
        <v>1</v>
      </c>
      <c r="D301" s="21" t="str">
        <f>TEXT('Solar Power Plant Data'!A300,"ddd")</f>
        <v>Sat</v>
      </c>
      <c r="E301" s="21">
        <f t="shared" si="1"/>
        <v>1</v>
      </c>
      <c r="F301" s="19">
        <f t="array" ref="F301">IF(ROW()&lt;25,"",INDEX('Solar Power Plant Data'!H:H,ROW()-1))</f>
        <v>0</v>
      </c>
      <c r="G301" s="19">
        <f>IF(ROW()&lt;25,"",AVERAGE(OFFSET('Solar Power Plant Data'!H323,-23,0,24,1)))
</f>
        <v>1201944.375</v>
      </c>
      <c r="H301" s="21">
        <f>'Solar Power Plant Data'!H300/MAX('Solar Power Plant Data'!E300,0.0001)
</f>
        <v>0</v>
      </c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</row>
    <row r="302">
      <c r="A302" s="21">
        <f>HOUR('Solar Power Plant Data'!A301)</f>
        <v>2</v>
      </c>
      <c r="B302" s="21">
        <f>DAY('Solar Power Plant Data'!A301)</f>
        <v>22</v>
      </c>
      <c r="C302" s="21">
        <f>MONTH('Solar Power Plant Data'!A301)</f>
        <v>1</v>
      </c>
      <c r="D302" s="21" t="str">
        <f>TEXT('Solar Power Plant Data'!A301,"ddd")</f>
        <v>Sun</v>
      </c>
      <c r="E302" s="21">
        <f t="shared" si="1"/>
        <v>1</v>
      </c>
      <c r="F302" s="19">
        <f t="array" ref="F302">IF(ROW()&lt;25,"",INDEX('Solar Power Plant Data'!H:H,ROW()-1))</f>
        <v>1945001</v>
      </c>
      <c r="G302" s="19">
        <f>IF(ROW()&lt;25,"",AVERAGE(OFFSET('Solar Power Plant Data'!H324,-23,0,24,1)))
</f>
        <v>1201949.708</v>
      </c>
      <c r="H302" s="21">
        <f>'Solar Power Plant Data'!H301/MAX('Solar Power Plant Data'!E301,0.0001)
</f>
        <v>19450010000</v>
      </c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</row>
    <row r="303">
      <c r="A303" s="21">
        <f>HOUR('Solar Power Plant Data'!A302)</f>
        <v>2</v>
      </c>
      <c r="B303" s="21">
        <f>DAY('Solar Power Plant Data'!A302)</f>
        <v>23</v>
      </c>
      <c r="C303" s="21">
        <f>MONTH('Solar Power Plant Data'!A302)</f>
        <v>1</v>
      </c>
      <c r="D303" s="21" t="str">
        <f>TEXT('Solar Power Plant Data'!A302,"ddd")</f>
        <v>Mon</v>
      </c>
      <c r="E303" s="21">
        <f t="shared" si="1"/>
        <v>0</v>
      </c>
      <c r="F303" s="19">
        <f t="array" ref="F303">IF(ROW()&lt;25,"",INDEX('Solar Power Plant Data'!H:H,ROW()-1))</f>
        <v>13426666</v>
      </c>
      <c r="G303" s="19">
        <f>IF(ROW()&lt;25,"",AVERAGE(OFFSET('Solar Power Plant Data'!H325,-23,0,24,1)))
</f>
        <v>1345005.208</v>
      </c>
      <c r="H303" s="21">
        <f>'Solar Power Plant Data'!H302/MAX('Solar Power Plant Data'!E302,0.0001)
</f>
        <v>134266660000</v>
      </c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</row>
    <row r="304">
      <c r="A304" s="21">
        <f>HOUR('Solar Power Plant Data'!A303)</f>
        <v>2</v>
      </c>
      <c r="B304" s="21">
        <f>DAY('Solar Power Plant Data'!A303)</f>
        <v>24</v>
      </c>
      <c r="C304" s="21">
        <f>MONTH('Solar Power Plant Data'!A303)</f>
        <v>1</v>
      </c>
      <c r="D304" s="21" t="str">
        <f>TEXT('Solar Power Plant Data'!A303,"ddd")</f>
        <v>Tue</v>
      </c>
      <c r="E304" s="21">
        <f t="shared" si="1"/>
        <v>0</v>
      </c>
      <c r="F304" s="19">
        <f t="array" ref="F304">IF(ROW()&lt;25,"",INDEX('Solar Power Plant Data'!H:H,ROW()-1))</f>
        <v>10441666</v>
      </c>
      <c r="G304" s="19">
        <f>IF(ROW()&lt;25,"",AVERAGE(OFFSET('Solar Power Plant Data'!H326,-23,0,24,1)))
</f>
        <v>1167921.875</v>
      </c>
      <c r="H304" s="21">
        <f>'Solar Power Plant Data'!H303/MAX('Solar Power Plant Data'!E303,0.0001)
</f>
        <v>84206.98387</v>
      </c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</row>
    <row r="305">
      <c r="A305" s="21">
        <f>HOUR('Solar Power Plant Data'!A304)</f>
        <v>2</v>
      </c>
      <c r="B305" s="21">
        <f>DAY('Solar Power Plant Data'!A304)</f>
        <v>25</v>
      </c>
      <c r="C305" s="21">
        <f>MONTH('Solar Power Plant Data'!A304)</f>
        <v>1</v>
      </c>
      <c r="D305" s="21" t="str">
        <f>TEXT('Solar Power Plant Data'!A304,"ddd")</f>
        <v>Wed</v>
      </c>
      <c r="E305" s="21">
        <f t="shared" si="1"/>
        <v>0</v>
      </c>
      <c r="F305" s="19">
        <f t="array" ref="F305">IF(ROW()&lt;25,"",INDEX('Solar Power Plant Data'!H:H,ROW()-1))</f>
        <v>1923333</v>
      </c>
      <c r="G305" s="19">
        <f>IF(ROW()&lt;25,"",AVERAGE(OFFSET('Solar Power Plant Data'!H327,-23,0,24,1)))
</f>
        <v>945977.4167</v>
      </c>
      <c r="H305" s="21">
        <f>'Solar Power Plant Data'!H304/MAX('Solar Power Plant Data'!E304,0.0001)
</f>
        <v>19233330000</v>
      </c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</row>
    <row r="306">
      <c r="A306" s="21">
        <f>HOUR('Solar Power Plant Data'!A305)</f>
        <v>2</v>
      </c>
      <c r="B306" s="21">
        <f>DAY('Solar Power Plant Data'!A305)</f>
        <v>26</v>
      </c>
      <c r="C306" s="21">
        <f>MONTH('Solar Power Plant Data'!A305)</f>
        <v>1</v>
      </c>
      <c r="D306" s="21" t="str">
        <f>TEXT('Solar Power Plant Data'!A305,"ddd")</f>
        <v>Thu</v>
      </c>
      <c r="E306" s="21">
        <f t="shared" si="1"/>
        <v>0</v>
      </c>
      <c r="F306" s="19">
        <f t="array" ref="F306">IF(ROW()&lt;25,"",INDEX('Solar Power Plant Data'!H:H,ROW()-1))</f>
        <v>1109999</v>
      </c>
      <c r="G306" s="19">
        <f>IF(ROW()&lt;25,"",AVERAGE(OFFSET('Solar Power Plant Data'!H328,-23,0,24,1)))
</f>
        <v>973685.75</v>
      </c>
      <c r="H306" s="21">
        <f>'Solar Power Plant Data'!H305/MAX('Solar Power Plant Data'!E305,0.0001)
</f>
        <v>11099990000</v>
      </c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</row>
    <row r="307">
      <c r="A307" s="21">
        <f>HOUR('Solar Power Plant Data'!A306)</f>
        <v>2</v>
      </c>
      <c r="B307" s="21">
        <f>DAY('Solar Power Plant Data'!A306)</f>
        <v>27</v>
      </c>
      <c r="C307" s="21">
        <f>MONTH('Solar Power Plant Data'!A306)</f>
        <v>1</v>
      </c>
      <c r="D307" s="21" t="str">
        <f>TEXT('Solar Power Plant Data'!A306,"ddd")</f>
        <v>Fri</v>
      </c>
      <c r="E307" s="21">
        <f t="shared" si="1"/>
        <v>0</v>
      </c>
      <c r="F307" s="19">
        <f t="array" ref="F307">IF(ROW()&lt;25,"",INDEX('Solar Power Plant Data'!H:H,ROW()-1))</f>
        <v>0</v>
      </c>
      <c r="G307" s="19">
        <f>IF(ROW()&lt;25,"",AVERAGE(OFFSET('Solar Power Plant Data'!H329,-23,0,24,1)))
</f>
        <v>960630.25</v>
      </c>
      <c r="H307" s="21">
        <f>'Solar Power Plant Data'!H306/MAX('Solar Power Plant Data'!E306,0.0001)
</f>
        <v>0</v>
      </c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</row>
    <row r="308">
      <c r="A308" s="21">
        <f>HOUR('Solar Power Plant Data'!A307)</f>
        <v>2</v>
      </c>
      <c r="B308" s="21">
        <f>DAY('Solar Power Plant Data'!A307)</f>
        <v>28</v>
      </c>
      <c r="C308" s="21">
        <f>MONTH('Solar Power Plant Data'!A307)</f>
        <v>1</v>
      </c>
      <c r="D308" s="21" t="str">
        <f>TEXT('Solar Power Plant Data'!A307,"ddd")</f>
        <v>Sat</v>
      </c>
      <c r="E308" s="21">
        <f t="shared" si="1"/>
        <v>1</v>
      </c>
      <c r="F308" s="19">
        <f t="array" ref="F308">IF(ROW()&lt;25,"",INDEX('Solar Power Plant Data'!H:H,ROW()-1))</f>
        <v>0</v>
      </c>
      <c r="G308" s="19">
        <f>IF(ROW()&lt;25,"",AVERAGE(OFFSET('Solar Power Plant Data'!H330,-23,0,24,1)))
</f>
        <v>964935.7917</v>
      </c>
      <c r="H308" s="21">
        <f>'Solar Power Plant Data'!H307/MAX('Solar Power Plant Data'!E307,0.0001)
</f>
        <v>0</v>
      </c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</row>
    <row r="309">
      <c r="A309" s="21">
        <f>HOUR('Solar Power Plant Data'!A308)</f>
        <v>2</v>
      </c>
      <c r="B309" s="21">
        <f>DAY('Solar Power Plant Data'!A308)</f>
        <v>29</v>
      </c>
      <c r="C309" s="21">
        <f>MONTH('Solar Power Plant Data'!A308)</f>
        <v>1</v>
      </c>
      <c r="D309" s="21" t="str">
        <f>TEXT('Solar Power Plant Data'!A308,"ddd")</f>
        <v>Sun</v>
      </c>
      <c r="E309" s="21">
        <f t="shared" si="1"/>
        <v>1</v>
      </c>
      <c r="F309" s="19">
        <f t="array" ref="F309">IF(ROW()&lt;25,"",INDEX('Solar Power Plant Data'!H:H,ROW()-1))</f>
        <v>0</v>
      </c>
      <c r="G309" s="19">
        <f>IF(ROW()&lt;25,"",AVERAGE(OFFSET('Solar Power Plant Data'!H331,-23,0,24,1)))
</f>
        <v>964935.7917</v>
      </c>
      <c r="H309" s="21">
        <f>'Solar Power Plant Data'!H308/MAX('Solar Power Plant Data'!E308,0.0001)
</f>
        <v>0</v>
      </c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</row>
    <row r="310">
      <c r="A310" s="21">
        <f>HOUR('Solar Power Plant Data'!A309)</f>
        <v>2</v>
      </c>
      <c r="B310" s="21">
        <f>DAY('Solar Power Plant Data'!A309)</f>
        <v>30</v>
      </c>
      <c r="C310" s="21">
        <f>MONTH('Solar Power Plant Data'!A309)</f>
        <v>1</v>
      </c>
      <c r="D310" s="21" t="str">
        <f>TEXT('Solar Power Plant Data'!A309,"ddd")</f>
        <v>Mon</v>
      </c>
      <c r="E310" s="21">
        <f t="shared" si="1"/>
        <v>0</v>
      </c>
      <c r="F310" s="19">
        <f t="array" ref="F310">IF(ROW()&lt;25,"",INDEX('Solar Power Plant Data'!H:H,ROW()-1))</f>
        <v>0</v>
      </c>
      <c r="G310" s="19">
        <f>IF(ROW()&lt;25,"",AVERAGE(OFFSET('Solar Power Plant Data'!H332,-23,0,24,1)))
</f>
        <v>964935.7917</v>
      </c>
      <c r="H310" s="21">
        <f>'Solar Power Plant Data'!H309/MAX('Solar Power Plant Data'!E309,0.0001)
</f>
        <v>0</v>
      </c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</row>
    <row r="311">
      <c r="A311" s="21">
        <f>HOUR('Solar Power Plant Data'!A310)</f>
        <v>2</v>
      </c>
      <c r="B311" s="21">
        <f>DAY('Solar Power Plant Data'!A310)</f>
        <v>31</v>
      </c>
      <c r="C311" s="21">
        <f>MONTH('Solar Power Plant Data'!A310)</f>
        <v>1</v>
      </c>
      <c r="D311" s="21" t="str">
        <f>TEXT('Solar Power Plant Data'!A310,"ddd")</f>
        <v>Tue</v>
      </c>
      <c r="E311" s="21">
        <f t="shared" si="1"/>
        <v>0</v>
      </c>
      <c r="F311" s="19">
        <f t="array" ref="F311">IF(ROW()&lt;25,"",INDEX('Solar Power Plant Data'!H:H,ROW()-1))</f>
        <v>0</v>
      </c>
      <c r="G311" s="19">
        <f>IF(ROW()&lt;25,"",AVERAGE(OFFSET('Solar Power Plant Data'!H333,-23,0,24,1)))
</f>
        <v>964935.7917</v>
      </c>
      <c r="H311" s="21">
        <f>'Solar Power Plant Data'!H310/MAX('Solar Power Plant Data'!E310,0.0001)
</f>
        <v>0</v>
      </c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</row>
    <row r="312">
      <c r="A312" s="21">
        <f>HOUR('Solar Power Plant Data'!A311)</f>
        <v>2</v>
      </c>
      <c r="B312" s="21">
        <f>DAY('Solar Power Plant Data'!A311)</f>
        <v>1</v>
      </c>
      <c r="C312" s="21">
        <f>MONTH('Solar Power Plant Data'!A311)</f>
        <v>2</v>
      </c>
      <c r="D312" s="21" t="str">
        <f>TEXT('Solar Power Plant Data'!A311,"ddd")</f>
        <v>Wed</v>
      </c>
      <c r="E312" s="21">
        <f t="shared" si="1"/>
        <v>0</v>
      </c>
      <c r="F312" s="19">
        <f t="array" ref="F312">IF(ROW()&lt;25,"",INDEX('Solar Power Plant Data'!H:H,ROW()-1))</f>
        <v>0</v>
      </c>
      <c r="G312" s="19">
        <f>IF(ROW()&lt;25,"",AVERAGE(OFFSET('Solar Power Plant Data'!H334,-23,0,24,1)))
</f>
        <v>964935.7917</v>
      </c>
      <c r="H312" s="21">
        <f>'Solar Power Plant Data'!H311/MAX('Solar Power Plant Data'!E311,0.0001)
</f>
        <v>0</v>
      </c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</row>
    <row r="313">
      <c r="A313" s="21">
        <f>HOUR('Solar Power Plant Data'!A312)</f>
        <v>2</v>
      </c>
      <c r="B313" s="21">
        <f>DAY('Solar Power Plant Data'!A312)</f>
        <v>2</v>
      </c>
      <c r="C313" s="21">
        <f>MONTH('Solar Power Plant Data'!A312)</f>
        <v>2</v>
      </c>
      <c r="D313" s="21" t="str">
        <f>TEXT('Solar Power Plant Data'!A312,"ddd")</f>
        <v>Thu</v>
      </c>
      <c r="E313" s="21">
        <f t="shared" si="1"/>
        <v>0</v>
      </c>
      <c r="F313" s="19">
        <f t="array" ref="F313">IF(ROW()&lt;25,"",INDEX('Solar Power Plant Data'!H:H,ROW()-1))</f>
        <v>0</v>
      </c>
      <c r="G313" s="19">
        <f>IF(ROW()&lt;25,"",AVERAGE(OFFSET('Solar Power Plant Data'!H335,-23,0,24,1)))
</f>
        <v>964935.7917</v>
      </c>
      <c r="H313" s="21">
        <f>'Solar Power Plant Data'!H312/MAX('Solar Power Plant Data'!E312,0.0001)
</f>
        <v>0</v>
      </c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</row>
    <row r="314">
      <c r="A314" s="21">
        <f>HOUR('Solar Power Plant Data'!A313)</f>
        <v>2</v>
      </c>
      <c r="B314" s="21">
        <f>DAY('Solar Power Plant Data'!A313)</f>
        <v>3</v>
      </c>
      <c r="C314" s="21">
        <f>MONTH('Solar Power Plant Data'!A313)</f>
        <v>2</v>
      </c>
      <c r="D314" s="21" t="str">
        <f>TEXT('Solar Power Plant Data'!A313,"ddd")</f>
        <v>Fri</v>
      </c>
      <c r="E314" s="21">
        <f t="shared" si="1"/>
        <v>0</v>
      </c>
      <c r="F314" s="19">
        <f t="array" ref="F314">IF(ROW()&lt;25,"",INDEX('Solar Power Plant Data'!H:H,ROW()-1))</f>
        <v>0</v>
      </c>
      <c r="G314" s="19">
        <f>IF(ROW()&lt;25,"",AVERAGE(OFFSET('Solar Power Plant Data'!H336,-23,0,24,1)))
</f>
        <v>964935.7917</v>
      </c>
      <c r="H314" s="21">
        <f>'Solar Power Plant Data'!H313/MAX('Solar Power Plant Data'!E313,0.0001)
</f>
        <v>0</v>
      </c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</row>
    <row r="315">
      <c r="A315" s="21">
        <f>HOUR('Solar Power Plant Data'!A314)</f>
        <v>2</v>
      </c>
      <c r="B315" s="21">
        <f>DAY('Solar Power Plant Data'!A314)</f>
        <v>4</v>
      </c>
      <c r="C315" s="21">
        <f>MONTH('Solar Power Plant Data'!A314)</f>
        <v>2</v>
      </c>
      <c r="D315" s="21" t="str">
        <f>TEXT('Solar Power Plant Data'!A314,"ddd")</f>
        <v>Sat</v>
      </c>
      <c r="E315" s="21">
        <f t="shared" si="1"/>
        <v>1</v>
      </c>
      <c r="F315" s="19">
        <f t="array" ref="F315">IF(ROW()&lt;25,"",INDEX('Solar Power Plant Data'!H:H,ROW()-1))</f>
        <v>0</v>
      </c>
      <c r="G315" s="19">
        <f>IF(ROW()&lt;25,"",AVERAGE(OFFSET('Solar Power Plant Data'!H337,-23,0,24,1)))
</f>
        <v>964935.7917</v>
      </c>
      <c r="H315" s="21">
        <f>'Solar Power Plant Data'!H314/MAX('Solar Power Plant Data'!E314,0.0001)
</f>
        <v>0</v>
      </c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</row>
    <row r="316">
      <c r="A316" s="21">
        <f>HOUR('Solar Power Plant Data'!A315)</f>
        <v>2</v>
      </c>
      <c r="B316" s="21">
        <f>DAY('Solar Power Plant Data'!A315)</f>
        <v>5</v>
      </c>
      <c r="C316" s="21">
        <f>MONTH('Solar Power Plant Data'!A315)</f>
        <v>2</v>
      </c>
      <c r="D316" s="21" t="str">
        <f>TEXT('Solar Power Plant Data'!A315,"ddd")</f>
        <v>Sun</v>
      </c>
      <c r="E316" s="21">
        <f t="shared" si="1"/>
        <v>1</v>
      </c>
      <c r="F316" s="19">
        <f t="array" ref="F316">IF(ROW()&lt;25,"",INDEX('Solar Power Plant Data'!H:H,ROW()-1))</f>
        <v>0</v>
      </c>
      <c r="G316" s="19">
        <f>IF(ROW()&lt;25,"",AVERAGE(OFFSET('Solar Power Plant Data'!H338,-23,0,24,1)))
</f>
        <v>964935.7917</v>
      </c>
      <c r="H316" s="21">
        <f>'Solar Power Plant Data'!H315/MAX('Solar Power Plant Data'!E315,0.0001)
</f>
        <v>0</v>
      </c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</row>
    <row r="317">
      <c r="A317" s="21">
        <f>HOUR('Solar Power Plant Data'!A316)</f>
        <v>2</v>
      </c>
      <c r="B317" s="21">
        <f>DAY('Solar Power Plant Data'!A316)</f>
        <v>6</v>
      </c>
      <c r="C317" s="21">
        <f>MONTH('Solar Power Plant Data'!A316)</f>
        <v>2</v>
      </c>
      <c r="D317" s="21" t="str">
        <f>TEXT('Solar Power Plant Data'!A316,"ddd")</f>
        <v>Mon</v>
      </c>
      <c r="E317" s="21">
        <f t="shared" si="1"/>
        <v>0</v>
      </c>
      <c r="F317" s="19">
        <f t="array" ref="F317">IF(ROW()&lt;25,"",INDEX('Solar Power Plant Data'!H:H,ROW()-1))</f>
        <v>0</v>
      </c>
      <c r="G317" s="19">
        <f>IF(ROW()&lt;25,"",AVERAGE(OFFSET('Solar Power Plant Data'!H339,-23,0,24,1)))
</f>
        <v>964935.7917</v>
      </c>
      <c r="H317" s="21">
        <f>'Solar Power Plant Data'!H316/MAX('Solar Power Plant Data'!E316,0.0001)
</f>
        <v>0</v>
      </c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</row>
    <row r="318">
      <c r="A318" s="21">
        <f>HOUR('Solar Power Plant Data'!A317)</f>
        <v>2</v>
      </c>
      <c r="B318" s="21">
        <f>DAY('Solar Power Plant Data'!A317)</f>
        <v>7</v>
      </c>
      <c r="C318" s="21">
        <f>MONTH('Solar Power Plant Data'!A317)</f>
        <v>2</v>
      </c>
      <c r="D318" s="21" t="str">
        <f>TEXT('Solar Power Plant Data'!A317,"ddd")</f>
        <v>Tue</v>
      </c>
      <c r="E318" s="21">
        <f t="shared" si="1"/>
        <v>0</v>
      </c>
      <c r="F318" s="19">
        <f t="array" ref="F318">IF(ROW()&lt;25,"",INDEX('Solar Power Plant Data'!H:H,ROW()-1))</f>
        <v>0</v>
      </c>
      <c r="G318" s="19">
        <f>IF(ROW()&lt;25,"",AVERAGE(OFFSET('Solar Power Plant Data'!H340,-23,0,24,1)))
</f>
        <v>964935.7917</v>
      </c>
      <c r="H318" s="21">
        <f>'Solar Power Plant Data'!H317/MAX('Solar Power Plant Data'!E317,0.0001)
</f>
        <v>0</v>
      </c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</row>
    <row r="319">
      <c r="A319" s="21">
        <f>HOUR('Solar Power Plant Data'!A318)</f>
        <v>2</v>
      </c>
      <c r="B319" s="21">
        <f>DAY('Solar Power Plant Data'!A318)</f>
        <v>8</v>
      </c>
      <c r="C319" s="21">
        <f>MONTH('Solar Power Plant Data'!A318)</f>
        <v>2</v>
      </c>
      <c r="D319" s="21" t="str">
        <f>TEXT('Solar Power Plant Data'!A318,"ddd")</f>
        <v>Wed</v>
      </c>
      <c r="E319" s="21">
        <f t="shared" si="1"/>
        <v>0</v>
      </c>
      <c r="F319" s="19">
        <f t="array" ref="F319">IF(ROW()&lt;25,"",INDEX('Solar Power Plant Data'!H:H,ROW()-1))</f>
        <v>0</v>
      </c>
      <c r="G319" s="19">
        <f>IF(ROW()&lt;25,"",AVERAGE(OFFSET('Solar Power Plant Data'!H341,-23,0,24,1)))
</f>
        <v>964935.7917</v>
      </c>
      <c r="H319" s="21">
        <f>'Solar Power Plant Data'!H318/MAX('Solar Power Plant Data'!E318,0.0001)
</f>
        <v>0</v>
      </c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</row>
    <row r="320">
      <c r="A320" s="21">
        <f>HOUR('Solar Power Plant Data'!A319)</f>
        <v>2</v>
      </c>
      <c r="B320" s="21">
        <f>DAY('Solar Power Plant Data'!A319)</f>
        <v>9</v>
      </c>
      <c r="C320" s="21">
        <f>MONTH('Solar Power Plant Data'!A319)</f>
        <v>2</v>
      </c>
      <c r="D320" s="21" t="str">
        <f>TEXT('Solar Power Plant Data'!A319,"ddd")</f>
        <v>Thu</v>
      </c>
      <c r="E320" s="21">
        <f t="shared" si="1"/>
        <v>0</v>
      </c>
      <c r="F320" s="19">
        <f t="array" ref="F320">IF(ROW()&lt;25,"",INDEX('Solar Power Plant Data'!H:H,ROW()-1))</f>
        <v>0</v>
      </c>
      <c r="G320" s="19">
        <f>IF(ROW()&lt;25,"",AVERAGE(OFFSET('Solar Power Plant Data'!H342,-23,0,24,1)))
</f>
        <v>964935.7917</v>
      </c>
      <c r="H320" s="21">
        <f>'Solar Power Plant Data'!H319/MAX('Solar Power Plant Data'!E319,0.0001)
</f>
        <v>0</v>
      </c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</row>
    <row r="321">
      <c r="A321" s="21">
        <f>HOUR('Solar Power Plant Data'!A320)</f>
        <v>2</v>
      </c>
      <c r="B321" s="21">
        <f>DAY('Solar Power Plant Data'!A320)</f>
        <v>10</v>
      </c>
      <c r="C321" s="21">
        <f>MONTH('Solar Power Plant Data'!A320)</f>
        <v>2</v>
      </c>
      <c r="D321" s="21" t="str">
        <f>TEXT('Solar Power Plant Data'!A320,"ddd")</f>
        <v>Fri</v>
      </c>
      <c r="E321" s="21">
        <f t="shared" si="1"/>
        <v>0</v>
      </c>
      <c r="F321" s="19">
        <f t="array" ref="F321">IF(ROW()&lt;25,"",INDEX('Solar Power Plant Data'!H:H,ROW()-1))</f>
        <v>0</v>
      </c>
      <c r="G321" s="19">
        <f>IF(ROW()&lt;25,"",AVERAGE(OFFSET('Solar Power Plant Data'!H343,-23,0,24,1)))
</f>
        <v>964935.7917</v>
      </c>
      <c r="H321" s="21">
        <f>'Solar Power Plant Data'!H320/MAX('Solar Power Plant Data'!E320,0.0001)
</f>
        <v>0</v>
      </c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</row>
    <row r="322">
      <c r="A322" s="21">
        <f>HOUR('Solar Power Plant Data'!A321)</f>
        <v>2</v>
      </c>
      <c r="B322" s="21">
        <f>DAY('Solar Power Plant Data'!A321)</f>
        <v>11</v>
      </c>
      <c r="C322" s="21">
        <f>MONTH('Solar Power Plant Data'!A321)</f>
        <v>2</v>
      </c>
      <c r="D322" s="21" t="str">
        <f>TEXT('Solar Power Plant Data'!A321,"ddd")</f>
        <v>Sat</v>
      </c>
      <c r="E322" s="21">
        <f t="shared" si="1"/>
        <v>1</v>
      </c>
      <c r="F322" s="19">
        <f t="array" ref="F322">IF(ROW()&lt;25,"",INDEX('Solar Power Plant Data'!H:H,ROW()-1))</f>
        <v>0</v>
      </c>
      <c r="G322" s="19">
        <f>IF(ROW()&lt;25,"",AVERAGE(OFFSET('Solar Power Plant Data'!H344,-23,0,24,1)))
</f>
        <v>964935.7917</v>
      </c>
      <c r="H322" s="21">
        <f>'Solar Power Plant Data'!H321/MAX('Solar Power Plant Data'!E321,0.0001)
</f>
        <v>0</v>
      </c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</row>
    <row r="323">
      <c r="A323" s="21">
        <f>HOUR('Solar Power Plant Data'!A322)</f>
        <v>2</v>
      </c>
      <c r="B323" s="21">
        <f>DAY('Solar Power Plant Data'!A322)</f>
        <v>12</v>
      </c>
      <c r="C323" s="21">
        <f>MONTH('Solar Power Plant Data'!A322)</f>
        <v>2</v>
      </c>
      <c r="D323" s="21" t="str">
        <f>TEXT('Solar Power Plant Data'!A322,"ddd")</f>
        <v>Sun</v>
      </c>
      <c r="E323" s="21">
        <f t="shared" si="1"/>
        <v>1</v>
      </c>
      <c r="F323" s="19">
        <f t="array" ref="F323">IF(ROW()&lt;25,"",INDEX('Solar Power Plant Data'!H:H,ROW()-1))</f>
        <v>0</v>
      </c>
      <c r="G323" s="19">
        <f>IF(ROW()&lt;25,"",AVERAGE(OFFSET('Solar Power Plant Data'!H345,-23,0,24,1)))
</f>
        <v>964935.7917</v>
      </c>
      <c r="H323" s="21">
        <f>'Solar Power Plant Data'!H322/MAX('Solar Power Plant Data'!E322,0.0001)
</f>
        <v>0</v>
      </c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</row>
    <row r="324">
      <c r="A324" s="21">
        <f>HOUR('Solar Power Plant Data'!A323)</f>
        <v>2</v>
      </c>
      <c r="B324" s="21">
        <f>DAY('Solar Power Plant Data'!A323)</f>
        <v>13</v>
      </c>
      <c r="C324" s="21">
        <f>MONTH('Solar Power Plant Data'!A323)</f>
        <v>2</v>
      </c>
      <c r="D324" s="21" t="str">
        <f>TEXT('Solar Power Plant Data'!A323,"ddd")</f>
        <v>Mon</v>
      </c>
      <c r="E324" s="21">
        <f t="shared" si="1"/>
        <v>0</v>
      </c>
      <c r="F324" s="19">
        <f t="array" ref="F324">IF(ROW()&lt;25,"",INDEX('Solar Power Plant Data'!H:H,ROW()-1))</f>
        <v>0</v>
      </c>
      <c r="G324" s="19">
        <f>IF(ROW()&lt;25,"",AVERAGE(OFFSET('Solar Power Plant Data'!H346,-23,0,24,1)))
</f>
        <v>964935.7917</v>
      </c>
      <c r="H324" s="21">
        <f>'Solar Power Plant Data'!H323/MAX('Solar Power Plant Data'!E323,0.0001)
</f>
        <v>0</v>
      </c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</row>
    <row r="325">
      <c r="A325" s="21">
        <f>HOUR('Solar Power Plant Data'!A324)</f>
        <v>2</v>
      </c>
      <c r="B325" s="21">
        <f>DAY('Solar Power Plant Data'!A324)</f>
        <v>14</v>
      </c>
      <c r="C325" s="21">
        <f>MONTH('Solar Power Plant Data'!A324)</f>
        <v>2</v>
      </c>
      <c r="D325" s="21" t="str">
        <f>TEXT('Solar Power Plant Data'!A324,"ddd")</f>
        <v>Tue</v>
      </c>
      <c r="E325" s="21">
        <f t="shared" si="1"/>
        <v>0</v>
      </c>
      <c r="F325" s="19">
        <f t="array" ref="F325">IF(ROW()&lt;25,"",INDEX('Solar Power Plant Data'!H:H,ROW()-1))</f>
        <v>128</v>
      </c>
      <c r="G325" s="19">
        <f>IF(ROW()&lt;25,"",AVERAGE(OFFSET('Solar Power Plant Data'!H347,-23,0,24,1)))
</f>
        <v>964935.7917</v>
      </c>
      <c r="H325" s="21">
        <f>'Solar Power Plant Data'!H324/MAX('Solar Power Plant Data'!E324,0.0001)
</f>
        <v>1280000</v>
      </c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</row>
    <row r="326">
      <c r="A326" s="21">
        <f>HOUR('Solar Power Plant Data'!A325)</f>
        <v>2</v>
      </c>
      <c r="B326" s="21">
        <f>DAY('Solar Power Plant Data'!A325)</f>
        <v>15</v>
      </c>
      <c r="C326" s="21">
        <f>MONTH('Solar Power Plant Data'!A325)</f>
        <v>2</v>
      </c>
      <c r="D326" s="21" t="str">
        <f>TEXT('Solar Power Plant Data'!A325,"ddd")</f>
        <v>Wed</v>
      </c>
      <c r="E326" s="21">
        <f t="shared" si="1"/>
        <v>0</v>
      </c>
      <c r="F326" s="19">
        <f t="array" ref="F326">IF(ROW()&lt;25,"",INDEX('Solar Power Plant Data'!H:H,ROW()-1))</f>
        <v>5378333</v>
      </c>
      <c r="G326" s="19">
        <f>IF(ROW()&lt;25,"",AVERAGE(OFFSET('Solar Power Plant Data'!H348,-23,0,24,1)))
</f>
        <v>964930.4583</v>
      </c>
      <c r="H326" s="21">
        <f>'Solar Power Plant Data'!H325/MAX('Solar Power Plant Data'!E325,0.0001)
</f>
        <v>53783330000</v>
      </c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</row>
    <row r="327">
      <c r="A327" s="21">
        <f>HOUR('Solar Power Plant Data'!A326)</f>
        <v>2</v>
      </c>
      <c r="B327" s="21">
        <f>DAY('Solar Power Plant Data'!A326)</f>
        <v>16</v>
      </c>
      <c r="C327" s="21">
        <f>MONTH('Solar Power Plant Data'!A326)</f>
        <v>2</v>
      </c>
      <c r="D327" s="21" t="str">
        <f>TEXT('Solar Power Plant Data'!A326,"ddd")</f>
        <v>Thu</v>
      </c>
      <c r="E327" s="21">
        <f t="shared" si="1"/>
        <v>0</v>
      </c>
      <c r="F327" s="19">
        <f t="array" ref="F327">IF(ROW()&lt;25,"",INDEX('Solar Power Plant Data'!H:H,ROW()-1))</f>
        <v>9176666</v>
      </c>
      <c r="G327" s="19">
        <f>IF(ROW()&lt;25,"",AVERAGE(OFFSET('Solar Power Plant Data'!H349,-23,0,24,1)))
</f>
        <v>740833.25</v>
      </c>
      <c r="H327" s="21">
        <f>'Solar Power Plant Data'!H326/MAX('Solar Power Plant Data'!E326,0.0001)
</f>
        <v>152944.4333</v>
      </c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</row>
    <row r="328">
      <c r="A328" s="21">
        <f>HOUR('Solar Power Plant Data'!A327)</f>
        <v>2</v>
      </c>
      <c r="B328" s="21">
        <f>DAY('Solar Power Plant Data'!A327)</f>
        <v>17</v>
      </c>
      <c r="C328" s="21">
        <f>MONTH('Solar Power Plant Data'!A327)</f>
        <v>2</v>
      </c>
      <c r="D328" s="21" t="str">
        <f>TEXT('Solar Power Plant Data'!A327,"ddd")</f>
        <v>Fri</v>
      </c>
      <c r="E328" s="21">
        <f t="shared" si="1"/>
        <v>0</v>
      </c>
      <c r="F328" s="19">
        <f t="array" ref="F328">IF(ROW()&lt;25,"",INDEX('Solar Power Plant Data'!H:H,ROW()-1))</f>
        <v>5114999</v>
      </c>
      <c r="G328" s="19">
        <f>IF(ROW()&lt;25,"",AVERAGE(OFFSET('Solar Power Plant Data'!H350,-23,0,24,1)))
</f>
        <v>863819.375</v>
      </c>
      <c r="H328" s="21">
        <f>'Solar Power Plant Data'!H327/MAX('Solar Power Plant Data'!E327,0.0001)
</f>
        <v>51149990000</v>
      </c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</row>
    <row r="329">
      <c r="A329" s="21">
        <f>HOUR('Solar Power Plant Data'!A328)</f>
        <v>2</v>
      </c>
      <c r="B329" s="21">
        <f>DAY('Solar Power Plant Data'!A328)</f>
        <v>18</v>
      </c>
      <c r="C329" s="21">
        <f>MONTH('Solar Power Plant Data'!A328)</f>
        <v>2</v>
      </c>
      <c r="D329" s="21" t="str">
        <f>TEXT('Solar Power Plant Data'!A328,"ddd")</f>
        <v>Sat</v>
      </c>
      <c r="E329" s="21">
        <f t="shared" si="1"/>
        <v>1</v>
      </c>
      <c r="F329" s="19">
        <f t="array" ref="F329">IF(ROW()&lt;25,"",INDEX('Solar Power Plant Data'!H:H,ROW()-1))</f>
        <v>2588333</v>
      </c>
      <c r="G329" s="19">
        <f>IF(ROW()&lt;25,"",AVERAGE(OFFSET('Solar Power Plant Data'!H351,-23,0,24,1)))
</f>
        <v>650740</v>
      </c>
      <c r="H329" s="21">
        <f>'Solar Power Plant Data'!H328/MAX('Solar Power Plant Data'!E328,0.0001)
</f>
        <v>25883330000</v>
      </c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</row>
    <row r="330">
      <c r="A330" s="21">
        <f>HOUR('Solar Power Plant Data'!A329)</f>
        <v>2</v>
      </c>
      <c r="B330" s="21">
        <f>DAY('Solar Power Plant Data'!A329)</f>
        <v>19</v>
      </c>
      <c r="C330" s="21">
        <f>MONTH('Solar Power Plant Data'!A329)</f>
        <v>2</v>
      </c>
      <c r="D330" s="21" t="str">
        <f>TEXT('Solar Power Plant Data'!A329,"ddd")</f>
        <v>Sun</v>
      </c>
      <c r="E330" s="21">
        <f t="shared" si="1"/>
        <v>1</v>
      </c>
      <c r="F330" s="19">
        <f t="array" ref="F330">IF(ROW()&lt;25,"",INDEX('Solar Power Plant Data'!H:H,ROW()-1))</f>
        <v>796667</v>
      </c>
      <c r="G330" s="19">
        <f>IF(ROW()&lt;25,"",AVERAGE(OFFSET('Solar Power Plant Data'!H352,-23,0,24,1)))
</f>
        <v>612337.25</v>
      </c>
      <c r="H330" s="21">
        <f>'Solar Power Plant Data'!H329/MAX('Solar Power Plant Data'!E329,0.0001)
</f>
        <v>7966670000</v>
      </c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</row>
    <row r="331">
      <c r="A331" s="21">
        <f>HOUR('Solar Power Plant Data'!A330)</f>
        <v>2</v>
      </c>
      <c r="B331" s="21">
        <f>DAY('Solar Power Plant Data'!A330)</f>
        <v>20</v>
      </c>
      <c r="C331" s="21">
        <f>MONTH('Solar Power Plant Data'!A330)</f>
        <v>2</v>
      </c>
      <c r="D331" s="21" t="str">
        <f>TEXT('Solar Power Plant Data'!A330,"ddd")</f>
        <v>Mon</v>
      </c>
      <c r="E331" s="21">
        <f t="shared" si="1"/>
        <v>0</v>
      </c>
      <c r="F331" s="19">
        <f t="array" ref="F331">IF(ROW()&lt;25,"",INDEX('Solar Power Plant Data'!H:H,ROW()-1))</f>
        <v>103333</v>
      </c>
      <c r="G331" s="19">
        <f>IF(ROW()&lt;25,"",AVERAGE(OFFSET('Solar Power Plant Data'!H353,-23,0,24,1)))
</f>
        <v>627198.375</v>
      </c>
      <c r="H331" s="21">
        <f>'Solar Power Plant Data'!H330/MAX('Solar Power Plant Data'!E330,0.0001)
</f>
        <v>1033330000</v>
      </c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</row>
    <row r="332">
      <c r="A332" s="21">
        <f>HOUR('Solar Power Plant Data'!A331)</f>
        <v>2</v>
      </c>
      <c r="B332" s="21">
        <f>DAY('Solar Power Plant Data'!A331)</f>
        <v>21</v>
      </c>
      <c r="C332" s="21">
        <f>MONTH('Solar Power Plant Data'!A331)</f>
        <v>2</v>
      </c>
      <c r="D332" s="21" t="str">
        <f>TEXT('Solar Power Plant Data'!A331,"ddd")</f>
        <v>Tue</v>
      </c>
      <c r="E332" s="21">
        <f t="shared" si="1"/>
        <v>0</v>
      </c>
      <c r="F332" s="19">
        <f t="array" ref="F332">IF(ROW()&lt;25,"",INDEX('Solar Power Plant Data'!H:H,ROW()-1))</f>
        <v>0</v>
      </c>
      <c r="G332" s="19">
        <f>IF(ROW()&lt;25,"",AVERAGE(OFFSET('Solar Power Plant Data'!H354,-23,0,24,1)))
</f>
        <v>622892.875</v>
      </c>
      <c r="H332" s="21">
        <f>'Solar Power Plant Data'!H331/MAX('Solar Power Plant Data'!E331,0.0001)
</f>
        <v>0</v>
      </c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</row>
    <row r="333">
      <c r="A333" s="21">
        <f>HOUR('Solar Power Plant Data'!A332)</f>
        <v>2</v>
      </c>
      <c r="B333" s="21">
        <f>DAY('Solar Power Plant Data'!A332)</f>
        <v>22</v>
      </c>
      <c r="C333" s="21">
        <f>MONTH('Solar Power Plant Data'!A332)</f>
        <v>2</v>
      </c>
      <c r="D333" s="21" t="str">
        <f>TEXT('Solar Power Plant Data'!A332,"ddd")</f>
        <v>Wed</v>
      </c>
      <c r="E333" s="21">
        <f t="shared" si="1"/>
        <v>0</v>
      </c>
      <c r="F333" s="19">
        <f t="array" ref="F333">IF(ROW()&lt;25,"",INDEX('Solar Power Plant Data'!H:H,ROW()-1))</f>
        <v>0</v>
      </c>
      <c r="G333" s="19">
        <f>IF(ROW()&lt;25,"",AVERAGE(OFFSET('Solar Power Plant Data'!H355,-23,0,24,1)))
</f>
        <v>622892.875</v>
      </c>
      <c r="H333" s="21">
        <f>'Solar Power Plant Data'!H332/MAX('Solar Power Plant Data'!E332,0.0001)
</f>
        <v>0</v>
      </c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</row>
    <row r="334">
      <c r="A334" s="21">
        <f>HOUR('Solar Power Plant Data'!A333)</f>
        <v>2</v>
      </c>
      <c r="B334" s="21">
        <f>DAY('Solar Power Plant Data'!A333)</f>
        <v>23</v>
      </c>
      <c r="C334" s="21">
        <f>MONTH('Solar Power Plant Data'!A333)</f>
        <v>2</v>
      </c>
      <c r="D334" s="21" t="str">
        <f>TEXT('Solar Power Plant Data'!A333,"ddd")</f>
        <v>Thu</v>
      </c>
      <c r="E334" s="21">
        <f t="shared" si="1"/>
        <v>0</v>
      </c>
      <c r="F334" s="19">
        <f t="array" ref="F334">IF(ROW()&lt;25,"",INDEX('Solar Power Plant Data'!H:H,ROW()-1))</f>
        <v>0</v>
      </c>
      <c r="G334" s="19">
        <f>IF(ROW()&lt;25,"",AVERAGE(OFFSET('Solar Power Plant Data'!H356,-23,0,24,1)))
</f>
        <v>622892.875</v>
      </c>
      <c r="H334" s="21">
        <f>'Solar Power Plant Data'!H333/MAX('Solar Power Plant Data'!E333,0.0001)
</f>
        <v>0</v>
      </c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</row>
    <row r="335">
      <c r="A335" s="21">
        <f>HOUR('Solar Power Plant Data'!A334)</f>
        <v>2</v>
      </c>
      <c r="B335" s="21">
        <f>DAY('Solar Power Plant Data'!A334)</f>
        <v>24</v>
      </c>
      <c r="C335" s="21">
        <f>MONTH('Solar Power Plant Data'!A334)</f>
        <v>2</v>
      </c>
      <c r="D335" s="21" t="str">
        <f>TEXT('Solar Power Plant Data'!A334,"ddd")</f>
        <v>Fri</v>
      </c>
      <c r="E335" s="21">
        <f t="shared" si="1"/>
        <v>0</v>
      </c>
      <c r="F335" s="19">
        <f t="array" ref="F335">IF(ROW()&lt;25,"",INDEX('Solar Power Plant Data'!H:H,ROW()-1))</f>
        <v>0</v>
      </c>
      <c r="G335" s="19">
        <f>IF(ROW()&lt;25,"",AVERAGE(OFFSET('Solar Power Plant Data'!H357,-23,0,24,1)))
</f>
        <v>622892.875</v>
      </c>
      <c r="H335" s="21">
        <f>'Solar Power Plant Data'!H334/MAX('Solar Power Plant Data'!E334,0.0001)
</f>
        <v>0</v>
      </c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</row>
    <row r="336">
      <c r="A336" s="21">
        <f>HOUR('Solar Power Plant Data'!A335)</f>
        <v>2</v>
      </c>
      <c r="B336" s="21">
        <f>DAY('Solar Power Plant Data'!A335)</f>
        <v>25</v>
      </c>
      <c r="C336" s="21">
        <f>MONTH('Solar Power Plant Data'!A335)</f>
        <v>2</v>
      </c>
      <c r="D336" s="21" t="str">
        <f>TEXT('Solar Power Plant Data'!A335,"ddd")</f>
        <v>Sat</v>
      </c>
      <c r="E336" s="21">
        <f t="shared" si="1"/>
        <v>1</v>
      </c>
      <c r="F336" s="19">
        <f t="array" ref="F336">IF(ROW()&lt;25,"",INDEX('Solar Power Plant Data'!H:H,ROW()-1))</f>
        <v>0</v>
      </c>
      <c r="G336" s="19">
        <f>IF(ROW()&lt;25,"",AVERAGE(OFFSET('Solar Power Plant Data'!H358,-23,0,24,1)))
</f>
        <v>622892.875</v>
      </c>
      <c r="H336" s="21">
        <f>'Solar Power Plant Data'!H335/MAX('Solar Power Plant Data'!E335,0.0001)
</f>
        <v>0</v>
      </c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</row>
    <row r="337">
      <c r="A337" s="21">
        <f>HOUR('Solar Power Plant Data'!A336)</f>
        <v>2</v>
      </c>
      <c r="B337" s="21">
        <f>DAY('Solar Power Plant Data'!A336)</f>
        <v>26</v>
      </c>
      <c r="C337" s="21">
        <f>MONTH('Solar Power Plant Data'!A336)</f>
        <v>2</v>
      </c>
      <c r="D337" s="21" t="str">
        <f>TEXT('Solar Power Plant Data'!A336,"ddd")</f>
        <v>Sun</v>
      </c>
      <c r="E337" s="21">
        <f t="shared" si="1"/>
        <v>1</v>
      </c>
      <c r="F337" s="19">
        <f t="array" ref="F337">IF(ROW()&lt;25,"",INDEX('Solar Power Plant Data'!H:H,ROW()-1))</f>
        <v>0</v>
      </c>
      <c r="G337" s="19">
        <f>IF(ROW()&lt;25,"",AVERAGE(OFFSET('Solar Power Plant Data'!H359,-23,0,24,1)))
</f>
        <v>622892.875</v>
      </c>
      <c r="H337" s="21">
        <f>'Solar Power Plant Data'!H336/MAX('Solar Power Plant Data'!E336,0.0001)
</f>
        <v>0</v>
      </c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</row>
    <row r="338">
      <c r="A338" s="21">
        <f>HOUR('Solar Power Plant Data'!A337)</f>
        <v>2</v>
      </c>
      <c r="B338" s="21">
        <f>DAY('Solar Power Plant Data'!A337)</f>
        <v>27</v>
      </c>
      <c r="C338" s="21">
        <f>MONTH('Solar Power Plant Data'!A337)</f>
        <v>2</v>
      </c>
      <c r="D338" s="21" t="str">
        <f>TEXT('Solar Power Plant Data'!A337,"ddd")</f>
        <v>Mon</v>
      </c>
      <c r="E338" s="21">
        <f t="shared" si="1"/>
        <v>0</v>
      </c>
      <c r="F338" s="19">
        <f t="array" ref="F338">IF(ROW()&lt;25,"",INDEX('Solar Power Plant Data'!H:H,ROW()-1))</f>
        <v>0</v>
      </c>
      <c r="G338" s="19">
        <f>IF(ROW()&lt;25,"",AVERAGE(OFFSET('Solar Power Plant Data'!H360,-23,0,24,1)))
</f>
        <v>622892.875</v>
      </c>
      <c r="H338" s="21">
        <f>'Solar Power Plant Data'!H337/MAX('Solar Power Plant Data'!E337,0.0001)
</f>
        <v>0</v>
      </c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</row>
    <row r="339">
      <c r="A339" s="21">
        <f>HOUR('Solar Power Plant Data'!A338)</f>
        <v>2</v>
      </c>
      <c r="B339" s="21">
        <f>DAY('Solar Power Plant Data'!A338)</f>
        <v>28</v>
      </c>
      <c r="C339" s="21">
        <f>MONTH('Solar Power Plant Data'!A338)</f>
        <v>2</v>
      </c>
      <c r="D339" s="21" t="str">
        <f>TEXT('Solar Power Plant Data'!A338,"ddd")</f>
        <v>Tue</v>
      </c>
      <c r="E339" s="21">
        <f t="shared" si="1"/>
        <v>0</v>
      </c>
      <c r="F339" s="19">
        <f t="array" ref="F339">IF(ROW()&lt;25,"",INDEX('Solar Power Plant Data'!H:H,ROW()-1))</f>
        <v>0</v>
      </c>
      <c r="G339" s="19">
        <f>IF(ROW()&lt;25,"",AVERAGE(OFFSET('Solar Power Plant Data'!H361,-23,0,24,1)))
</f>
        <v>622892.875</v>
      </c>
      <c r="H339" s="21">
        <f>'Solar Power Plant Data'!H338/MAX('Solar Power Plant Data'!E338,0.0001)
</f>
        <v>0</v>
      </c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</row>
    <row r="340">
      <c r="A340" s="21">
        <f>HOUR('Solar Power Plant Data'!A339)</f>
        <v>2</v>
      </c>
      <c r="B340" s="21">
        <f>DAY('Solar Power Plant Data'!A339)</f>
        <v>1</v>
      </c>
      <c r="C340" s="21">
        <f>MONTH('Solar Power Plant Data'!A339)</f>
        <v>3</v>
      </c>
      <c r="D340" s="21" t="str">
        <f>TEXT('Solar Power Plant Data'!A339,"ddd")</f>
        <v>Wed</v>
      </c>
      <c r="E340" s="21">
        <f t="shared" si="1"/>
        <v>0</v>
      </c>
      <c r="F340" s="19">
        <f t="array" ref="F340">IF(ROW()&lt;25,"",INDEX('Solar Power Plant Data'!H:H,ROW()-1))</f>
        <v>0</v>
      </c>
      <c r="G340" s="19">
        <f>IF(ROW()&lt;25,"",AVERAGE(OFFSET('Solar Power Plant Data'!H362,-23,0,24,1)))
</f>
        <v>622892.875</v>
      </c>
      <c r="H340" s="21">
        <f>'Solar Power Plant Data'!H339/MAX('Solar Power Plant Data'!E339,0.0001)
</f>
        <v>0</v>
      </c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</row>
    <row r="341">
      <c r="A341" s="21">
        <f>HOUR('Solar Power Plant Data'!A340)</f>
        <v>2</v>
      </c>
      <c r="B341" s="21">
        <f>DAY('Solar Power Plant Data'!A340)</f>
        <v>2</v>
      </c>
      <c r="C341" s="21">
        <f>MONTH('Solar Power Plant Data'!A340)</f>
        <v>3</v>
      </c>
      <c r="D341" s="21" t="str">
        <f>TEXT('Solar Power Plant Data'!A340,"ddd")</f>
        <v>Thu</v>
      </c>
      <c r="E341" s="21">
        <f t="shared" si="1"/>
        <v>0</v>
      </c>
      <c r="F341" s="19">
        <f t="array" ref="F341">IF(ROW()&lt;25,"",INDEX('Solar Power Plant Data'!H:H,ROW()-1))</f>
        <v>0</v>
      </c>
      <c r="G341" s="19">
        <f>IF(ROW()&lt;25,"",AVERAGE(OFFSET('Solar Power Plant Data'!H363,-23,0,24,1)))
</f>
        <v>622892.875</v>
      </c>
      <c r="H341" s="21">
        <f>'Solar Power Plant Data'!H340/MAX('Solar Power Plant Data'!E340,0.0001)
</f>
        <v>0</v>
      </c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</row>
    <row r="342">
      <c r="A342" s="21">
        <f>HOUR('Solar Power Plant Data'!A341)</f>
        <v>2</v>
      </c>
      <c r="B342" s="21">
        <f>DAY('Solar Power Plant Data'!A341)</f>
        <v>3</v>
      </c>
      <c r="C342" s="21">
        <f>MONTH('Solar Power Plant Data'!A341)</f>
        <v>3</v>
      </c>
      <c r="D342" s="21" t="str">
        <f>TEXT('Solar Power Plant Data'!A341,"ddd")</f>
        <v>Fri</v>
      </c>
      <c r="E342" s="21">
        <f t="shared" si="1"/>
        <v>0</v>
      </c>
      <c r="F342" s="19">
        <f t="array" ref="F342">IF(ROW()&lt;25,"",INDEX('Solar Power Plant Data'!H:H,ROW()-1))</f>
        <v>0</v>
      </c>
      <c r="G342" s="19">
        <f>IF(ROW()&lt;25,"",AVERAGE(OFFSET('Solar Power Plant Data'!H364,-23,0,24,1)))
</f>
        <v>622892.875</v>
      </c>
      <c r="H342" s="21">
        <f>'Solar Power Plant Data'!H341/MAX('Solar Power Plant Data'!E341,0.0001)
</f>
        <v>0</v>
      </c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</row>
    <row r="343">
      <c r="A343" s="21">
        <f>HOUR('Solar Power Plant Data'!A342)</f>
        <v>2</v>
      </c>
      <c r="B343" s="21">
        <f>DAY('Solar Power Plant Data'!A342)</f>
        <v>4</v>
      </c>
      <c r="C343" s="21">
        <f>MONTH('Solar Power Plant Data'!A342)</f>
        <v>3</v>
      </c>
      <c r="D343" s="21" t="str">
        <f>TEXT('Solar Power Plant Data'!A342,"ddd")</f>
        <v>Sat</v>
      </c>
      <c r="E343" s="21">
        <f t="shared" si="1"/>
        <v>1</v>
      </c>
      <c r="F343" s="19">
        <f t="array" ref="F343">IF(ROW()&lt;25,"",INDEX('Solar Power Plant Data'!H:H,ROW()-1))</f>
        <v>0</v>
      </c>
      <c r="G343" s="19">
        <f>IF(ROW()&lt;25,"",AVERAGE(OFFSET('Solar Power Plant Data'!H365,-23,0,24,1)))
</f>
        <v>622892.875</v>
      </c>
      <c r="H343" s="21">
        <f>'Solar Power Plant Data'!H342/MAX('Solar Power Plant Data'!E342,0.0001)
</f>
        <v>0</v>
      </c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</row>
    <row r="344">
      <c r="A344" s="21">
        <f>HOUR('Solar Power Plant Data'!A343)</f>
        <v>2</v>
      </c>
      <c r="B344" s="21">
        <f>DAY('Solar Power Plant Data'!A343)</f>
        <v>5</v>
      </c>
      <c r="C344" s="21">
        <f>MONTH('Solar Power Plant Data'!A343)</f>
        <v>3</v>
      </c>
      <c r="D344" s="21" t="str">
        <f>TEXT('Solar Power Plant Data'!A343,"ddd")</f>
        <v>Sun</v>
      </c>
      <c r="E344" s="21">
        <f t="shared" si="1"/>
        <v>1</v>
      </c>
      <c r="F344" s="19">
        <f t="array" ref="F344">IF(ROW()&lt;25,"",INDEX('Solar Power Plant Data'!H:H,ROW()-1))</f>
        <v>0</v>
      </c>
      <c r="G344" s="19">
        <f>IF(ROW()&lt;25,"",AVERAGE(OFFSET('Solar Power Plant Data'!H366,-23,0,24,1)))
</f>
        <v>622892.875</v>
      </c>
      <c r="H344" s="21">
        <f>'Solar Power Plant Data'!H343/MAX('Solar Power Plant Data'!E343,0.0001)
</f>
        <v>0</v>
      </c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</row>
    <row r="345">
      <c r="A345" s="21">
        <f>HOUR('Solar Power Plant Data'!A344)</f>
        <v>2</v>
      </c>
      <c r="B345" s="21">
        <f>DAY('Solar Power Plant Data'!A344)</f>
        <v>6</v>
      </c>
      <c r="C345" s="21">
        <f>MONTH('Solar Power Plant Data'!A344)</f>
        <v>3</v>
      </c>
      <c r="D345" s="21" t="str">
        <f>TEXT('Solar Power Plant Data'!A344,"ddd")</f>
        <v>Mon</v>
      </c>
      <c r="E345" s="21">
        <f t="shared" si="1"/>
        <v>0</v>
      </c>
      <c r="F345" s="19">
        <f t="array" ref="F345">IF(ROW()&lt;25,"",INDEX('Solar Power Plant Data'!H:H,ROW()-1))</f>
        <v>0</v>
      </c>
      <c r="G345" s="19">
        <f>IF(ROW()&lt;25,"",AVERAGE(OFFSET('Solar Power Plant Data'!H367,-23,0,24,1)))
</f>
        <v>622892.875</v>
      </c>
      <c r="H345" s="21">
        <f>'Solar Power Plant Data'!H344/MAX('Solar Power Plant Data'!E344,0.0001)
</f>
        <v>0</v>
      </c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</row>
    <row r="346">
      <c r="A346" s="21">
        <f>HOUR('Solar Power Plant Data'!A345)</f>
        <v>2</v>
      </c>
      <c r="B346" s="21">
        <f>DAY('Solar Power Plant Data'!A345)</f>
        <v>7</v>
      </c>
      <c r="C346" s="21">
        <f>MONTH('Solar Power Plant Data'!A345)</f>
        <v>3</v>
      </c>
      <c r="D346" s="21" t="str">
        <f>TEXT('Solar Power Plant Data'!A345,"ddd")</f>
        <v>Tue</v>
      </c>
      <c r="E346" s="21">
        <f t="shared" si="1"/>
        <v>0</v>
      </c>
      <c r="F346" s="19">
        <f t="array" ref="F346">IF(ROW()&lt;25,"",INDEX('Solar Power Plant Data'!H:H,ROW()-1))</f>
        <v>0</v>
      </c>
      <c r="G346" s="19">
        <f>IF(ROW()&lt;25,"",AVERAGE(OFFSET('Solar Power Plant Data'!H368,-23,0,24,1)))
</f>
        <v>622892.875</v>
      </c>
      <c r="H346" s="21">
        <f>'Solar Power Plant Data'!H345/MAX('Solar Power Plant Data'!E345,0.0001)
</f>
        <v>0</v>
      </c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</row>
    <row r="347">
      <c r="A347" s="21">
        <f>HOUR('Solar Power Plant Data'!A346)</f>
        <v>2</v>
      </c>
      <c r="B347" s="21">
        <f>DAY('Solar Power Plant Data'!A346)</f>
        <v>8</v>
      </c>
      <c r="C347" s="21">
        <f>MONTH('Solar Power Plant Data'!A346)</f>
        <v>3</v>
      </c>
      <c r="D347" s="21" t="str">
        <f>TEXT('Solar Power Plant Data'!A346,"ddd")</f>
        <v>Wed</v>
      </c>
      <c r="E347" s="21">
        <f t="shared" si="1"/>
        <v>0</v>
      </c>
      <c r="F347" s="19">
        <f t="array" ref="F347">IF(ROW()&lt;25,"",INDEX('Solar Power Plant Data'!H:H,ROW()-1))</f>
        <v>0</v>
      </c>
      <c r="G347" s="19">
        <f>IF(ROW()&lt;25,"",AVERAGE(OFFSET('Solar Power Plant Data'!H369,-23,0,24,1)))
</f>
        <v>622892.875</v>
      </c>
      <c r="H347" s="21">
        <f>'Solar Power Plant Data'!H346/MAX('Solar Power Plant Data'!E346,0.0001)
</f>
        <v>0</v>
      </c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</row>
    <row r="348">
      <c r="A348" s="21">
        <f>HOUR('Solar Power Plant Data'!A347)</f>
        <v>2</v>
      </c>
      <c r="B348" s="21">
        <f>DAY('Solar Power Plant Data'!A347)</f>
        <v>9</v>
      </c>
      <c r="C348" s="21">
        <f>MONTH('Solar Power Plant Data'!A347)</f>
        <v>3</v>
      </c>
      <c r="D348" s="21" t="str">
        <f>TEXT('Solar Power Plant Data'!A347,"ddd")</f>
        <v>Thu</v>
      </c>
      <c r="E348" s="21">
        <f t="shared" si="1"/>
        <v>0</v>
      </c>
      <c r="F348" s="19">
        <f t="array" ref="F348">IF(ROW()&lt;25,"",INDEX('Solar Power Plant Data'!H:H,ROW()-1))</f>
        <v>0</v>
      </c>
      <c r="G348" s="19">
        <f>IF(ROW()&lt;25,"",AVERAGE(OFFSET('Solar Power Plant Data'!H370,-23,0,24,1)))
</f>
        <v>622892.875</v>
      </c>
      <c r="H348" s="21">
        <f>'Solar Power Plant Data'!H347/MAX('Solar Power Plant Data'!E347,0.0001)
</f>
        <v>0</v>
      </c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</row>
    <row r="349">
      <c r="A349" s="21">
        <f>HOUR('Solar Power Plant Data'!A348)</f>
        <v>2</v>
      </c>
      <c r="B349" s="21">
        <f>DAY('Solar Power Plant Data'!A348)</f>
        <v>10</v>
      </c>
      <c r="C349" s="21">
        <f>MONTH('Solar Power Plant Data'!A348)</f>
        <v>3</v>
      </c>
      <c r="D349" s="21" t="str">
        <f>TEXT('Solar Power Plant Data'!A348,"ddd")</f>
        <v>Fri</v>
      </c>
      <c r="E349" s="21">
        <f t="shared" si="1"/>
        <v>0</v>
      </c>
      <c r="F349" s="19">
        <f t="array" ref="F349">IF(ROW()&lt;25,"",INDEX('Solar Power Plant Data'!H:H,ROW()-1))</f>
        <v>0</v>
      </c>
      <c r="G349" s="19">
        <f>IF(ROW()&lt;25,"",AVERAGE(OFFSET('Solar Power Plant Data'!H371,-23,0,24,1)))
</f>
        <v>622892.875</v>
      </c>
      <c r="H349" s="21">
        <f>'Solar Power Plant Data'!H348/MAX('Solar Power Plant Data'!E348,0.0001)
</f>
        <v>0</v>
      </c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</row>
    <row r="350">
      <c r="A350" s="21">
        <f>HOUR('Solar Power Plant Data'!A349)</f>
        <v>2</v>
      </c>
      <c r="B350" s="21">
        <f>DAY('Solar Power Plant Data'!A349)</f>
        <v>11</v>
      </c>
      <c r="C350" s="21">
        <f>MONTH('Solar Power Plant Data'!A349)</f>
        <v>3</v>
      </c>
      <c r="D350" s="21" t="str">
        <f>TEXT('Solar Power Plant Data'!A349,"ddd")</f>
        <v>Sat</v>
      </c>
      <c r="E350" s="21">
        <f t="shared" si="1"/>
        <v>1</v>
      </c>
      <c r="F350" s="19">
        <f t="array" ref="F350">IF(ROW()&lt;25,"",INDEX('Solar Power Plant Data'!H:H,ROW()-1))</f>
        <v>0</v>
      </c>
      <c r="G350" s="19">
        <f>IF(ROW()&lt;25,"",AVERAGE(OFFSET('Solar Power Plant Data'!H372,-23,0,24,1)))
</f>
        <v>622892.875</v>
      </c>
      <c r="H350" s="21">
        <f>'Solar Power Plant Data'!H349/MAX('Solar Power Plant Data'!E349,0.0001)
</f>
        <v>0</v>
      </c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</row>
    <row r="351">
      <c r="A351" s="21">
        <f>HOUR('Solar Power Plant Data'!A350)</f>
        <v>2</v>
      </c>
      <c r="B351" s="21">
        <f>DAY('Solar Power Plant Data'!A350)</f>
        <v>12</v>
      </c>
      <c r="C351" s="21">
        <f>MONTH('Solar Power Plant Data'!A350)</f>
        <v>3</v>
      </c>
      <c r="D351" s="21" t="str">
        <f>TEXT('Solar Power Plant Data'!A350,"ddd")</f>
        <v>Sun</v>
      </c>
      <c r="E351" s="21">
        <f t="shared" si="1"/>
        <v>1</v>
      </c>
      <c r="F351" s="19">
        <f t="array" ref="F351">IF(ROW()&lt;25,"",INDEX('Solar Power Plant Data'!H:H,ROW()-1))</f>
        <v>12128333</v>
      </c>
      <c r="G351" s="19">
        <f>IF(ROW()&lt;25,"",AVERAGE(OFFSET('Solar Power Plant Data'!H373,-23,0,24,1)))
</f>
        <v>622892.875</v>
      </c>
      <c r="H351" s="21">
        <f>'Solar Power Plant Data'!H350/MAX('Solar Power Plant Data'!E350,0.0001)
</f>
        <v>121283330000</v>
      </c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</row>
    <row r="352">
      <c r="A352" s="21">
        <f>HOUR('Solar Power Plant Data'!A351)</f>
        <v>2</v>
      </c>
      <c r="B352" s="21">
        <f>DAY('Solar Power Plant Data'!A351)</f>
        <v>13</v>
      </c>
      <c r="C352" s="21">
        <f>MONTH('Solar Power Plant Data'!A351)</f>
        <v>3</v>
      </c>
      <c r="D352" s="21" t="str">
        <f>TEXT('Solar Power Plant Data'!A351,"ddd")</f>
        <v>Mon</v>
      </c>
      <c r="E352" s="21">
        <f t="shared" si="1"/>
        <v>0</v>
      </c>
      <c r="F352" s="19">
        <f t="array" ref="F352">IF(ROW()&lt;25,"",INDEX('Solar Power Plant Data'!H:H,ROW()-1))</f>
        <v>1094</v>
      </c>
      <c r="G352" s="19">
        <f>IF(ROW()&lt;25,"",AVERAGE(OFFSET('Solar Power Plant Data'!H374,-23,0,24,1)))
</f>
        <v>625288.7083</v>
      </c>
      <c r="H352" s="21">
        <f>'Solar Power Plant Data'!H351/MAX('Solar Power Plant Data'!E351,0.0001)
</f>
        <v>8.351145038</v>
      </c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</row>
    <row r="353">
      <c r="A353" s="21">
        <f>HOUR('Solar Power Plant Data'!A352)</f>
        <v>2</v>
      </c>
      <c r="B353" s="21">
        <f>DAY('Solar Power Plant Data'!A352)</f>
        <v>14</v>
      </c>
      <c r="C353" s="21">
        <f>MONTH('Solar Power Plant Data'!A352)</f>
        <v>3</v>
      </c>
      <c r="D353" s="21" t="str">
        <f>TEXT('Solar Power Plant Data'!A352,"ddd")</f>
        <v>Tue</v>
      </c>
      <c r="E353" s="21">
        <f t="shared" si="1"/>
        <v>0</v>
      </c>
      <c r="F353" s="19">
        <f t="array" ref="F353">IF(ROW()&lt;25,"",INDEX('Solar Power Plant Data'!H:H,ROW()-1))</f>
        <v>1666667</v>
      </c>
      <c r="G353" s="19">
        <f>IF(ROW()&lt;25,"",AVERAGE(OFFSET('Solar Power Plant Data'!H375,-23,0,24,1)))
</f>
        <v>625293.0417</v>
      </c>
      <c r="H353" s="21">
        <f>'Solar Power Plant Data'!H352/MAX('Solar Power Plant Data'!E352,0.0001)
</f>
        <v>16666670000</v>
      </c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</row>
    <row r="354">
      <c r="A354" s="21">
        <f>HOUR('Solar Power Plant Data'!A353)</f>
        <v>2</v>
      </c>
      <c r="B354" s="21">
        <f>DAY('Solar Power Plant Data'!A353)</f>
        <v>15</v>
      </c>
      <c r="C354" s="21">
        <f>MONTH('Solar Power Plant Data'!A353)</f>
        <v>3</v>
      </c>
      <c r="D354" s="21" t="str">
        <f>TEXT('Solar Power Plant Data'!A353,"ddd")</f>
        <v>Wed</v>
      </c>
      <c r="E354" s="21">
        <f t="shared" si="1"/>
        <v>0</v>
      </c>
      <c r="F354" s="19">
        <f t="array" ref="F354">IF(ROW()&lt;25,"",INDEX('Solar Power Plant Data'!H:H,ROW()-1))</f>
        <v>1153334</v>
      </c>
      <c r="G354" s="19">
        <f>IF(ROW()&lt;25,"",AVERAGE(OFFSET('Solar Power Plant Data'!H376,-23,0,24,1)))
</f>
        <v>631890.2917</v>
      </c>
      <c r="H354" s="21">
        <f>'Solar Power Plant Data'!H353/MAX('Solar Power Plant Data'!E353,0.0001)
</f>
        <v>17474.75758</v>
      </c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</row>
    <row r="355">
      <c r="A355" s="21">
        <f>HOUR('Solar Power Plant Data'!A354)</f>
        <v>2</v>
      </c>
      <c r="B355" s="21">
        <f>DAY('Solar Power Plant Data'!A354)</f>
        <v>16</v>
      </c>
      <c r="C355" s="21">
        <f>MONTH('Solar Power Plant Data'!A354)</f>
        <v>3</v>
      </c>
      <c r="D355" s="21" t="str">
        <f>TEXT('Solar Power Plant Data'!A354,"ddd")</f>
        <v>Thu</v>
      </c>
      <c r="E355" s="21">
        <f t="shared" si="1"/>
        <v>0</v>
      </c>
      <c r="F355" s="19">
        <f t="array" ref="F355">IF(ROW()&lt;25,"",INDEX('Solar Power Plant Data'!H:H,ROW()-1))</f>
        <v>1</v>
      </c>
      <c r="G355" s="19">
        <f>IF(ROW()&lt;25,"",AVERAGE(OFFSET('Solar Power Plant Data'!H377,-23,0,24,1)))
</f>
        <v>583839.7917</v>
      </c>
      <c r="H355" s="21">
        <f>'Solar Power Plant Data'!H354/MAX('Solar Power Plant Data'!E354,0.0001)
</f>
        <v>10000</v>
      </c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</row>
    <row r="356">
      <c r="A356" s="21">
        <f>HOUR('Solar Power Plant Data'!A355)</f>
        <v>2</v>
      </c>
      <c r="B356" s="21">
        <f>DAY('Solar Power Plant Data'!A355)</f>
        <v>17</v>
      </c>
      <c r="C356" s="21">
        <f>MONTH('Solar Power Plant Data'!A355)</f>
        <v>3</v>
      </c>
      <c r="D356" s="21" t="str">
        <f>TEXT('Solar Power Plant Data'!A355,"ddd")</f>
        <v>Fri</v>
      </c>
      <c r="E356" s="21">
        <f t="shared" si="1"/>
        <v>0</v>
      </c>
      <c r="F356" s="19">
        <f t="array" ref="F356">IF(ROW()&lt;25,"",INDEX('Solar Power Plant Data'!H:H,ROW()-1))</f>
        <v>0</v>
      </c>
      <c r="G356" s="19">
        <f>IF(ROW()&lt;25,"",AVERAGE(OFFSET('Solar Power Plant Data'!H378,-23,0,24,1)))
</f>
        <v>586409.2083</v>
      </c>
      <c r="H356" s="21">
        <f>'Solar Power Plant Data'!H355/MAX('Solar Power Plant Data'!E355,0.0001)
</f>
        <v>0</v>
      </c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</row>
    <row r="357">
      <c r="A357" s="21">
        <f>HOUR('Solar Power Plant Data'!A356)</f>
        <v>2</v>
      </c>
      <c r="B357" s="21">
        <f>DAY('Solar Power Plant Data'!A356)</f>
        <v>18</v>
      </c>
      <c r="C357" s="21">
        <f>MONTH('Solar Power Plant Data'!A356)</f>
        <v>3</v>
      </c>
      <c r="D357" s="21" t="str">
        <f>TEXT('Solar Power Plant Data'!A356,"ddd")</f>
        <v>Sat</v>
      </c>
      <c r="E357" s="21">
        <f t="shared" si="1"/>
        <v>1</v>
      </c>
      <c r="F357" s="19">
        <f t="array" ref="F357">IF(ROW()&lt;25,"",INDEX('Solar Power Plant Data'!H:H,ROW()-1))</f>
        <v>0</v>
      </c>
      <c r="G357" s="19">
        <f>IF(ROW()&lt;25,"",AVERAGE(OFFSET('Solar Power Plant Data'!H379,-23,0,24,1)))
</f>
        <v>586409.2083</v>
      </c>
      <c r="H357" s="21">
        <f>'Solar Power Plant Data'!H356/MAX('Solar Power Plant Data'!E356,0.0001)
</f>
        <v>0</v>
      </c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</row>
    <row r="358">
      <c r="A358" s="21">
        <f>HOUR('Solar Power Plant Data'!A357)</f>
        <v>2</v>
      </c>
      <c r="B358" s="21">
        <f>DAY('Solar Power Plant Data'!A357)</f>
        <v>19</v>
      </c>
      <c r="C358" s="21">
        <f>MONTH('Solar Power Plant Data'!A357)</f>
        <v>3</v>
      </c>
      <c r="D358" s="21" t="str">
        <f>TEXT('Solar Power Plant Data'!A357,"ddd")</f>
        <v>Sun</v>
      </c>
      <c r="E358" s="21">
        <f t="shared" si="1"/>
        <v>1</v>
      </c>
      <c r="F358" s="19">
        <f t="array" ref="F358">IF(ROW()&lt;25,"",INDEX('Solar Power Plant Data'!H:H,ROW()-1))</f>
        <v>0</v>
      </c>
      <c r="G358" s="19">
        <f>IF(ROW()&lt;25,"",AVERAGE(OFFSET('Solar Power Plant Data'!H380,-23,0,24,1)))
</f>
        <v>586409.2083</v>
      </c>
      <c r="H358" s="21">
        <f>'Solar Power Plant Data'!H357/MAX('Solar Power Plant Data'!E357,0.0001)
</f>
        <v>0</v>
      </c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</row>
    <row r="359">
      <c r="A359" s="21">
        <f>HOUR('Solar Power Plant Data'!A358)</f>
        <v>2</v>
      </c>
      <c r="B359" s="21">
        <f>DAY('Solar Power Plant Data'!A358)</f>
        <v>20</v>
      </c>
      <c r="C359" s="21">
        <f>MONTH('Solar Power Plant Data'!A358)</f>
        <v>3</v>
      </c>
      <c r="D359" s="21" t="str">
        <f>TEXT('Solar Power Plant Data'!A358,"ddd")</f>
        <v>Mon</v>
      </c>
      <c r="E359" s="21">
        <f t="shared" si="1"/>
        <v>0</v>
      </c>
      <c r="F359" s="19">
        <f t="array" ref="F359">IF(ROW()&lt;25,"",INDEX('Solar Power Plant Data'!H:H,ROW()-1))</f>
        <v>0</v>
      </c>
      <c r="G359" s="19">
        <f>IF(ROW()&lt;25,"",AVERAGE(OFFSET('Solar Power Plant Data'!H381,-23,0,24,1)))
</f>
        <v>586409.2083</v>
      </c>
      <c r="H359" s="21">
        <f>'Solar Power Plant Data'!H358/MAX('Solar Power Plant Data'!E358,0.0001)
</f>
        <v>0</v>
      </c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</row>
    <row r="360">
      <c r="A360" s="21">
        <f>HOUR('Solar Power Plant Data'!A359)</f>
        <v>2</v>
      </c>
      <c r="B360" s="21">
        <f>DAY('Solar Power Plant Data'!A359)</f>
        <v>21</v>
      </c>
      <c r="C360" s="21">
        <f>MONTH('Solar Power Plant Data'!A359)</f>
        <v>3</v>
      </c>
      <c r="D360" s="21" t="str">
        <f>TEXT('Solar Power Plant Data'!A359,"ddd")</f>
        <v>Tue</v>
      </c>
      <c r="E360" s="21">
        <f t="shared" si="1"/>
        <v>0</v>
      </c>
      <c r="F360" s="19">
        <f t="array" ref="F360">IF(ROW()&lt;25,"",INDEX('Solar Power Plant Data'!H:H,ROW()-1))</f>
        <v>0</v>
      </c>
      <c r="G360" s="19">
        <f>IF(ROW()&lt;25,"",AVERAGE(OFFSET('Solar Power Plant Data'!H382,-23,0,24,1)))
</f>
        <v>586409.2083</v>
      </c>
      <c r="H360" s="21">
        <f>'Solar Power Plant Data'!H359/MAX('Solar Power Plant Data'!E359,0.0001)
</f>
        <v>0</v>
      </c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</row>
    <row r="361">
      <c r="A361" s="21">
        <f>HOUR('Solar Power Plant Data'!A360)</f>
        <v>2</v>
      </c>
      <c r="B361" s="21">
        <f>DAY('Solar Power Plant Data'!A360)</f>
        <v>22</v>
      </c>
      <c r="C361" s="21">
        <f>MONTH('Solar Power Plant Data'!A360)</f>
        <v>3</v>
      </c>
      <c r="D361" s="21" t="str">
        <f>TEXT('Solar Power Plant Data'!A360,"ddd")</f>
        <v>Wed</v>
      </c>
      <c r="E361" s="21">
        <f t="shared" si="1"/>
        <v>0</v>
      </c>
      <c r="F361" s="19">
        <f t="array" ref="F361">IF(ROW()&lt;25,"",INDEX('Solar Power Plant Data'!H:H,ROW()-1))</f>
        <v>0</v>
      </c>
      <c r="G361" s="19">
        <f>IF(ROW()&lt;25,"",AVERAGE(OFFSET('Solar Power Plant Data'!H383,-23,0,24,1)))
</f>
        <v>586409.2083</v>
      </c>
      <c r="H361" s="21">
        <f>'Solar Power Plant Data'!H360/MAX('Solar Power Plant Data'!E360,0.0001)
</f>
        <v>0</v>
      </c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</row>
    <row r="362">
      <c r="A362" s="21">
        <f>HOUR('Solar Power Plant Data'!A361)</f>
        <v>2</v>
      </c>
      <c r="B362" s="21">
        <f>DAY('Solar Power Plant Data'!A361)</f>
        <v>23</v>
      </c>
      <c r="C362" s="21">
        <f>MONTH('Solar Power Plant Data'!A361)</f>
        <v>3</v>
      </c>
      <c r="D362" s="21" t="str">
        <f>TEXT('Solar Power Plant Data'!A361,"ddd")</f>
        <v>Thu</v>
      </c>
      <c r="E362" s="21">
        <f t="shared" si="1"/>
        <v>0</v>
      </c>
      <c r="F362" s="19">
        <f t="array" ref="F362">IF(ROW()&lt;25,"",INDEX('Solar Power Plant Data'!H:H,ROW()-1))</f>
        <v>0</v>
      </c>
      <c r="G362" s="19">
        <f>IF(ROW()&lt;25,"",AVERAGE(OFFSET('Solar Power Plant Data'!H384,-23,0,24,1)))
</f>
        <v>586409.2083</v>
      </c>
      <c r="H362" s="21">
        <f>'Solar Power Plant Data'!H361/MAX('Solar Power Plant Data'!E361,0.0001)
</f>
        <v>0</v>
      </c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</row>
    <row r="363">
      <c r="A363" s="21">
        <f>HOUR('Solar Power Plant Data'!A362)</f>
        <v>2</v>
      </c>
      <c r="B363" s="21">
        <f>DAY('Solar Power Plant Data'!A362)</f>
        <v>24</v>
      </c>
      <c r="C363" s="21">
        <f>MONTH('Solar Power Plant Data'!A362)</f>
        <v>3</v>
      </c>
      <c r="D363" s="21" t="str">
        <f>TEXT('Solar Power Plant Data'!A362,"ddd")</f>
        <v>Fri</v>
      </c>
      <c r="E363" s="21">
        <f t="shared" si="1"/>
        <v>0</v>
      </c>
      <c r="F363" s="19">
        <f t="array" ref="F363">IF(ROW()&lt;25,"",INDEX('Solar Power Plant Data'!H:H,ROW()-1))</f>
        <v>0</v>
      </c>
      <c r="G363" s="19">
        <f>IF(ROW()&lt;25,"",AVERAGE(OFFSET('Solar Power Plant Data'!H385,-23,0,24,1)))
</f>
        <v>586409.2083</v>
      </c>
      <c r="H363" s="21">
        <f>'Solar Power Plant Data'!H362/MAX('Solar Power Plant Data'!E362,0.0001)
</f>
        <v>0</v>
      </c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</row>
    <row r="364">
      <c r="A364" s="21">
        <f>HOUR('Solar Power Plant Data'!A363)</f>
        <v>2</v>
      </c>
      <c r="B364" s="21">
        <f>DAY('Solar Power Plant Data'!A363)</f>
        <v>25</v>
      </c>
      <c r="C364" s="21">
        <f>MONTH('Solar Power Plant Data'!A363)</f>
        <v>3</v>
      </c>
      <c r="D364" s="21" t="str">
        <f>TEXT('Solar Power Plant Data'!A363,"ddd")</f>
        <v>Sat</v>
      </c>
      <c r="E364" s="21">
        <f t="shared" si="1"/>
        <v>1</v>
      </c>
      <c r="F364" s="19">
        <f t="array" ref="F364">IF(ROW()&lt;25,"",INDEX('Solar Power Plant Data'!H:H,ROW()-1))</f>
        <v>0</v>
      </c>
      <c r="G364" s="19">
        <f>IF(ROW()&lt;25,"",AVERAGE(OFFSET('Solar Power Plant Data'!H386,-23,0,24,1)))
</f>
        <v>586409.2083</v>
      </c>
      <c r="H364" s="21">
        <f>'Solar Power Plant Data'!H363/MAX('Solar Power Plant Data'!E363,0.0001)
</f>
        <v>0</v>
      </c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</row>
    <row r="365">
      <c r="A365" s="21">
        <f>HOUR('Solar Power Plant Data'!A364)</f>
        <v>2</v>
      </c>
      <c r="B365" s="21">
        <f>DAY('Solar Power Plant Data'!A364)</f>
        <v>26</v>
      </c>
      <c r="C365" s="21">
        <f>MONTH('Solar Power Plant Data'!A364)</f>
        <v>3</v>
      </c>
      <c r="D365" s="21" t="str">
        <f>TEXT('Solar Power Plant Data'!A364,"ddd")</f>
        <v>Sun</v>
      </c>
      <c r="E365" s="21">
        <f t="shared" si="1"/>
        <v>1</v>
      </c>
      <c r="F365" s="19">
        <f t="array" ref="F365">IF(ROW()&lt;25,"",INDEX('Solar Power Plant Data'!H:H,ROW()-1))</f>
        <v>0</v>
      </c>
      <c r="G365" s="19">
        <f>IF(ROW()&lt;25,"",AVERAGE(OFFSET('Solar Power Plant Data'!H387,-23,0,24,1)))
</f>
        <v>586409.2083</v>
      </c>
      <c r="H365" s="21">
        <f>'Solar Power Plant Data'!H364/MAX('Solar Power Plant Data'!E364,0.0001)
</f>
        <v>0</v>
      </c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</row>
    <row r="366">
      <c r="A366" s="21">
        <f>HOUR('Solar Power Plant Data'!A365)</f>
        <v>2</v>
      </c>
      <c r="B366" s="21">
        <f>DAY('Solar Power Plant Data'!A365)</f>
        <v>27</v>
      </c>
      <c r="C366" s="21">
        <f>MONTH('Solar Power Plant Data'!A365)</f>
        <v>3</v>
      </c>
      <c r="D366" s="21" t="str">
        <f>TEXT('Solar Power Plant Data'!A365,"ddd")</f>
        <v>Mon</v>
      </c>
      <c r="E366" s="21">
        <f t="shared" si="1"/>
        <v>0</v>
      </c>
      <c r="F366" s="19">
        <f t="array" ref="F366">IF(ROW()&lt;25,"",INDEX('Solar Power Plant Data'!H:H,ROW()-1))</f>
        <v>0</v>
      </c>
      <c r="G366" s="19">
        <f>IF(ROW()&lt;25,"",AVERAGE(OFFSET('Solar Power Plant Data'!H388,-23,0,24,1)))
</f>
        <v>586409.2083</v>
      </c>
      <c r="H366" s="21">
        <f>'Solar Power Plant Data'!H365/MAX('Solar Power Plant Data'!E365,0.0001)
</f>
        <v>0</v>
      </c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</row>
    <row r="367">
      <c r="A367" s="21">
        <f>HOUR('Solar Power Plant Data'!A366)</f>
        <v>2</v>
      </c>
      <c r="B367" s="21">
        <f>DAY('Solar Power Plant Data'!A366)</f>
        <v>28</v>
      </c>
      <c r="C367" s="21">
        <f>MONTH('Solar Power Plant Data'!A366)</f>
        <v>3</v>
      </c>
      <c r="D367" s="21" t="str">
        <f>TEXT('Solar Power Plant Data'!A366,"ddd")</f>
        <v>Tue</v>
      </c>
      <c r="E367" s="21">
        <f t="shared" si="1"/>
        <v>0</v>
      </c>
      <c r="F367" s="19">
        <f t="array" ref="F367">IF(ROW()&lt;25,"",INDEX('Solar Power Plant Data'!H:H,ROW()-1))</f>
        <v>0</v>
      </c>
      <c r="G367" s="19">
        <f>IF(ROW()&lt;25,"",AVERAGE(OFFSET('Solar Power Plant Data'!H389,-23,0,24,1)))
</f>
        <v>586409.2083</v>
      </c>
      <c r="H367" s="21">
        <f>'Solar Power Plant Data'!H366/MAX('Solar Power Plant Data'!E366,0.0001)
</f>
        <v>0</v>
      </c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</row>
    <row r="368">
      <c r="A368" s="21">
        <f>HOUR('Solar Power Plant Data'!A367)</f>
        <v>2</v>
      </c>
      <c r="B368" s="21">
        <f>DAY('Solar Power Plant Data'!A367)</f>
        <v>29</v>
      </c>
      <c r="C368" s="21">
        <f>MONTH('Solar Power Plant Data'!A367)</f>
        <v>3</v>
      </c>
      <c r="D368" s="21" t="str">
        <f>TEXT('Solar Power Plant Data'!A367,"ddd")</f>
        <v>Wed</v>
      </c>
      <c r="E368" s="21">
        <f t="shared" si="1"/>
        <v>0</v>
      </c>
      <c r="F368" s="19">
        <f t="array" ref="F368">IF(ROW()&lt;25,"",INDEX('Solar Power Plant Data'!H:H,ROW()-1))</f>
        <v>0</v>
      </c>
      <c r="G368" s="19">
        <f>IF(ROW()&lt;25,"",AVERAGE(OFFSET('Solar Power Plant Data'!H390,-23,0,24,1)))
</f>
        <v>586409.2083</v>
      </c>
      <c r="H368" s="21">
        <f>'Solar Power Plant Data'!H367/MAX('Solar Power Plant Data'!E367,0.0001)
</f>
        <v>0</v>
      </c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</row>
    <row r="369">
      <c r="A369" s="21">
        <f>HOUR('Solar Power Plant Data'!A368)</f>
        <v>2</v>
      </c>
      <c r="B369" s="21">
        <f>DAY('Solar Power Plant Data'!A368)</f>
        <v>30</v>
      </c>
      <c r="C369" s="21">
        <f>MONTH('Solar Power Plant Data'!A368)</f>
        <v>3</v>
      </c>
      <c r="D369" s="21" t="str">
        <f>TEXT('Solar Power Plant Data'!A368,"ddd")</f>
        <v>Thu</v>
      </c>
      <c r="E369" s="21">
        <f t="shared" si="1"/>
        <v>0</v>
      </c>
      <c r="F369" s="19">
        <f t="array" ref="F369">IF(ROW()&lt;25,"",INDEX('Solar Power Plant Data'!H:H,ROW()-1))</f>
        <v>0</v>
      </c>
      <c r="G369" s="19">
        <f>IF(ROW()&lt;25,"",AVERAGE(OFFSET('Solar Power Plant Data'!H391,-23,0,24,1)))
</f>
        <v>586409.2083</v>
      </c>
      <c r="H369" s="21">
        <f>'Solar Power Plant Data'!H368/MAX('Solar Power Plant Data'!E368,0.0001)
</f>
        <v>0</v>
      </c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</row>
    <row r="370">
      <c r="A370" s="21">
        <f>HOUR('Solar Power Plant Data'!A369)</f>
        <v>2</v>
      </c>
      <c r="B370" s="21">
        <f>DAY('Solar Power Plant Data'!A369)</f>
        <v>31</v>
      </c>
      <c r="C370" s="21">
        <f>MONTH('Solar Power Plant Data'!A369)</f>
        <v>3</v>
      </c>
      <c r="D370" s="21" t="str">
        <f>TEXT('Solar Power Plant Data'!A369,"ddd")</f>
        <v>Fri</v>
      </c>
      <c r="E370" s="21">
        <f t="shared" si="1"/>
        <v>0</v>
      </c>
      <c r="F370" s="19">
        <f t="array" ref="F370">IF(ROW()&lt;25,"",INDEX('Solar Power Plant Data'!H:H,ROW()-1))</f>
        <v>0</v>
      </c>
      <c r="G370" s="19">
        <f>IF(ROW()&lt;25,"",AVERAGE(OFFSET('Solar Power Plant Data'!H392,-23,0,24,1)))
</f>
        <v>586409.2083</v>
      </c>
      <c r="H370" s="21">
        <f>'Solar Power Plant Data'!H369/MAX('Solar Power Plant Data'!E369,0.0001)
</f>
        <v>0</v>
      </c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</row>
    <row r="371">
      <c r="A371" s="21">
        <f>HOUR('Solar Power Plant Data'!A370)</f>
        <v>2</v>
      </c>
      <c r="B371" s="21">
        <f>DAY('Solar Power Plant Data'!A370)</f>
        <v>1</v>
      </c>
      <c r="C371" s="21">
        <f>MONTH('Solar Power Plant Data'!A370)</f>
        <v>4</v>
      </c>
      <c r="D371" s="21" t="str">
        <f>TEXT('Solar Power Plant Data'!A370,"ddd")</f>
        <v>Sat</v>
      </c>
      <c r="E371" s="21">
        <f t="shared" si="1"/>
        <v>1</v>
      </c>
      <c r="F371" s="19">
        <f t="array" ref="F371">IF(ROW()&lt;25,"",INDEX('Solar Power Plant Data'!H:H,ROW()-1))</f>
        <v>0</v>
      </c>
      <c r="G371" s="19">
        <f>IF(ROW()&lt;25,"",AVERAGE(OFFSET('Solar Power Plant Data'!H393,-23,0,24,1)))
</f>
        <v>586409.2083</v>
      </c>
      <c r="H371" s="21">
        <f>'Solar Power Plant Data'!H370/MAX('Solar Power Plant Data'!E370,0.0001)
</f>
        <v>0</v>
      </c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</row>
    <row r="372">
      <c r="A372" s="21">
        <f>HOUR('Solar Power Plant Data'!A371)</f>
        <v>2</v>
      </c>
      <c r="B372" s="21">
        <f>DAY('Solar Power Plant Data'!A371)</f>
        <v>2</v>
      </c>
      <c r="C372" s="21">
        <f>MONTH('Solar Power Plant Data'!A371)</f>
        <v>4</v>
      </c>
      <c r="D372" s="21" t="str">
        <f>TEXT('Solar Power Plant Data'!A371,"ddd")</f>
        <v>Sun</v>
      </c>
      <c r="E372" s="21">
        <f t="shared" si="1"/>
        <v>1</v>
      </c>
      <c r="F372" s="19">
        <f t="array" ref="F372">IF(ROW()&lt;25,"",INDEX('Solar Power Plant Data'!H:H,ROW()-1))</f>
        <v>0</v>
      </c>
      <c r="G372" s="19">
        <f>IF(ROW()&lt;25,"",AVERAGE(OFFSET('Solar Power Plant Data'!H394,-23,0,24,1)))
</f>
        <v>586409.2083</v>
      </c>
      <c r="H372" s="21">
        <f>'Solar Power Plant Data'!H371/MAX('Solar Power Plant Data'!E371,0.0001)
</f>
        <v>0</v>
      </c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</row>
    <row r="373">
      <c r="A373" s="21">
        <f>HOUR('Solar Power Plant Data'!A372)</f>
        <v>2</v>
      </c>
      <c r="B373" s="21">
        <f>DAY('Solar Power Plant Data'!A372)</f>
        <v>3</v>
      </c>
      <c r="C373" s="21">
        <f>MONTH('Solar Power Plant Data'!A372)</f>
        <v>4</v>
      </c>
      <c r="D373" s="21" t="str">
        <f>TEXT('Solar Power Plant Data'!A372,"ddd")</f>
        <v>Mon</v>
      </c>
      <c r="E373" s="21">
        <f t="shared" si="1"/>
        <v>0</v>
      </c>
      <c r="F373" s="19">
        <f t="array" ref="F373">IF(ROW()&lt;25,"",INDEX('Solar Power Plant Data'!H:H,ROW()-1))</f>
        <v>0</v>
      </c>
      <c r="G373" s="19">
        <f>IF(ROW()&lt;25,"",AVERAGE(OFFSET('Solar Power Plant Data'!H395,-23,0,24,1)))
</f>
        <v>586409.2083</v>
      </c>
      <c r="H373" s="21">
        <f>'Solar Power Plant Data'!H372/MAX('Solar Power Plant Data'!E372,0.0001)
</f>
        <v>0</v>
      </c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</row>
    <row r="374">
      <c r="A374" s="21">
        <f>HOUR('Solar Power Plant Data'!A373)</f>
        <v>2</v>
      </c>
      <c r="B374" s="21">
        <f>DAY('Solar Power Plant Data'!A373)</f>
        <v>4</v>
      </c>
      <c r="C374" s="21">
        <f>MONTH('Solar Power Plant Data'!A373)</f>
        <v>4</v>
      </c>
      <c r="D374" s="21" t="str">
        <f>TEXT('Solar Power Plant Data'!A373,"ddd")</f>
        <v>Tue</v>
      </c>
      <c r="E374" s="21">
        <f t="shared" si="1"/>
        <v>0</v>
      </c>
      <c r="F374" s="19">
        <f t="array" ref="F374">IF(ROW()&lt;25,"",INDEX('Solar Power Plant Data'!H:H,ROW()-1))</f>
        <v>0</v>
      </c>
      <c r="G374" s="19">
        <f>IF(ROW()&lt;25,"",AVERAGE(OFFSET('Solar Power Plant Data'!H396,-23,0,24,1)))
</f>
        <v>586409.2083</v>
      </c>
      <c r="H374" s="21">
        <f>'Solar Power Plant Data'!H373/MAX('Solar Power Plant Data'!E373,0.0001)
</f>
        <v>0</v>
      </c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</row>
    <row r="375">
      <c r="A375" s="21">
        <f>HOUR('Solar Power Plant Data'!A374)</f>
        <v>2</v>
      </c>
      <c r="B375" s="21">
        <f>DAY('Solar Power Plant Data'!A374)</f>
        <v>5</v>
      </c>
      <c r="C375" s="21">
        <f>MONTH('Solar Power Plant Data'!A374)</f>
        <v>4</v>
      </c>
      <c r="D375" s="21" t="str">
        <f>TEXT('Solar Power Plant Data'!A374,"ddd")</f>
        <v>Wed</v>
      </c>
      <c r="E375" s="21">
        <f t="shared" si="1"/>
        <v>0</v>
      </c>
      <c r="F375" s="19">
        <f t="array" ref="F375">IF(ROW()&lt;25,"",INDEX('Solar Power Plant Data'!H:H,ROW()-1))</f>
        <v>12185833</v>
      </c>
      <c r="G375" s="19">
        <f>IF(ROW()&lt;25,"",AVERAGE(OFFSET('Solar Power Plant Data'!H397,-23,0,24,1)))
</f>
        <v>586418.2917</v>
      </c>
      <c r="H375" s="21">
        <f>'Solar Power Plant Data'!H374/MAX('Solar Power Plant Data'!E374,0.0001)
</f>
        <v>121858330000</v>
      </c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</row>
    <row r="376">
      <c r="A376" s="21">
        <f>HOUR('Solar Power Plant Data'!A375)</f>
        <v>2</v>
      </c>
      <c r="B376" s="21">
        <f>DAY('Solar Power Plant Data'!A375)</f>
        <v>6</v>
      </c>
      <c r="C376" s="21">
        <f>MONTH('Solar Power Plant Data'!A375)</f>
        <v>4</v>
      </c>
      <c r="D376" s="21" t="str">
        <f>TEXT('Solar Power Plant Data'!A375,"ddd")</f>
        <v>Thu</v>
      </c>
      <c r="E376" s="21">
        <f t="shared" si="1"/>
        <v>0</v>
      </c>
      <c r="F376" s="19">
        <f t="array" ref="F376">IF(ROW()&lt;25,"",INDEX('Solar Power Plant Data'!H:H,ROW()-1))</f>
        <v>1198</v>
      </c>
      <c r="G376" s="19">
        <f>IF(ROW()&lt;25,"",AVERAGE(OFFSET('Solar Power Plant Data'!H398,-23,0,24,1)))
</f>
        <v>78688.91667</v>
      </c>
      <c r="H376" s="21">
        <f>'Solar Power Plant Data'!H375/MAX('Solar Power Plant Data'!E375,0.0001)
</f>
        <v>11980000</v>
      </c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</row>
    <row r="377">
      <c r="A377" s="21">
        <f>HOUR('Solar Power Plant Data'!A376)</f>
        <v>2</v>
      </c>
      <c r="B377" s="21">
        <f>DAY('Solar Power Plant Data'!A376)</f>
        <v>7</v>
      </c>
      <c r="C377" s="21">
        <f>MONTH('Solar Power Plant Data'!A376)</f>
        <v>4</v>
      </c>
      <c r="D377" s="21" t="str">
        <f>TEXT('Solar Power Plant Data'!A376,"ddd")</f>
        <v>Fri</v>
      </c>
      <c r="E377" s="21">
        <f t="shared" si="1"/>
        <v>0</v>
      </c>
      <c r="F377" s="19">
        <f t="array" ref="F377">IF(ROW()&lt;25,"",INDEX('Solar Power Plant Data'!H:H,ROW()-1))</f>
        <v>1825001</v>
      </c>
      <c r="G377" s="19">
        <f>IF(ROW()&lt;25,"",AVERAGE(OFFSET('Solar Power Plant Data'!H399,-23,0,24,1)))
</f>
        <v>193986.25</v>
      </c>
      <c r="H377" s="21">
        <f>'Solar Power Plant Data'!H376/MAX('Solar Power Plant Data'!E376,0.0001)
</f>
        <v>18250010000</v>
      </c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</row>
    <row r="378">
      <c r="A378" s="21">
        <f>HOUR('Solar Power Plant Data'!A377)</f>
        <v>2</v>
      </c>
      <c r="B378" s="21">
        <f>DAY('Solar Power Plant Data'!A377)</f>
        <v>8</v>
      </c>
      <c r="C378" s="21">
        <f>MONTH('Solar Power Plant Data'!A377)</f>
        <v>4</v>
      </c>
      <c r="D378" s="21" t="str">
        <f>TEXT('Solar Power Plant Data'!A377,"ddd")</f>
        <v>Sat</v>
      </c>
      <c r="E378" s="21">
        <f t="shared" si="1"/>
        <v>1</v>
      </c>
      <c r="F378" s="19">
        <f t="array" ref="F378">IF(ROW()&lt;25,"",INDEX('Solar Power Plant Data'!H:H,ROW()-1))</f>
        <v>122</v>
      </c>
      <c r="G378" s="19">
        <f>IF(ROW()&lt;25,"",AVERAGE(OFFSET('Solar Power Plant Data'!H400,-23,0,24,1)))
</f>
        <v>220930.6667</v>
      </c>
      <c r="H378" s="21">
        <f>'Solar Power Plant Data'!H377/MAX('Solar Power Plant Data'!E377,0.0001)
</f>
        <v>1220000</v>
      </c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</row>
    <row r="379">
      <c r="A379" s="21">
        <f>HOUR('Solar Power Plant Data'!A378)</f>
        <v>2</v>
      </c>
      <c r="B379" s="21">
        <f>DAY('Solar Power Plant Data'!A378)</f>
        <v>9</v>
      </c>
      <c r="C379" s="21">
        <f>MONTH('Solar Power Plant Data'!A378)</f>
        <v>4</v>
      </c>
      <c r="D379" s="21" t="str">
        <f>TEXT('Solar Power Plant Data'!A378,"ddd")</f>
        <v>Sun</v>
      </c>
      <c r="E379" s="21">
        <f t="shared" si="1"/>
        <v>1</v>
      </c>
      <c r="F379" s="19">
        <f t="array" ref="F379">IF(ROW()&lt;25,"",INDEX('Solar Power Plant Data'!H:H,ROW()-1))</f>
        <v>61667</v>
      </c>
      <c r="G379" s="19">
        <f>IF(ROW()&lt;25,"",AVERAGE(OFFSET('Solar Power Plant Data'!H401,-23,0,24,1)))
</f>
        <v>234397.8333</v>
      </c>
      <c r="H379" s="21">
        <f>'Solar Power Plant Data'!H378/MAX('Solar Power Plant Data'!E378,0.0001)
</f>
        <v>616670000</v>
      </c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</row>
    <row r="380">
      <c r="A380" s="21">
        <f>HOUR('Solar Power Plant Data'!A379)</f>
        <v>2</v>
      </c>
      <c r="B380" s="21">
        <f>DAY('Solar Power Plant Data'!A379)</f>
        <v>10</v>
      </c>
      <c r="C380" s="21">
        <f>MONTH('Solar Power Plant Data'!A379)</f>
        <v>4</v>
      </c>
      <c r="D380" s="21" t="str">
        <f>TEXT('Solar Power Plant Data'!A379,"ddd")</f>
        <v>Mon</v>
      </c>
      <c r="E380" s="21">
        <f t="shared" si="1"/>
        <v>0</v>
      </c>
      <c r="F380" s="19">
        <f t="array" ref="F380">IF(ROW()&lt;25,"",INDEX('Solar Power Plant Data'!H:H,ROW()-1))</f>
        <v>0</v>
      </c>
      <c r="G380" s="19">
        <f>IF(ROW()&lt;25,"",AVERAGE(OFFSET('Solar Power Plant Data'!H402,-23,0,24,1)))
</f>
        <v>231828.375</v>
      </c>
      <c r="H380" s="21">
        <f>'Solar Power Plant Data'!H379/MAX('Solar Power Plant Data'!E379,0.0001)
</f>
        <v>0</v>
      </c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</row>
    <row r="381">
      <c r="A381" s="21">
        <f>HOUR('Solar Power Plant Data'!A380)</f>
        <v>2</v>
      </c>
      <c r="B381" s="21">
        <f>DAY('Solar Power Plant Data'!A380)</f>
        <v>11</v>
      </c>
      <c r="C381" s="21">
        <f>MONTH('Solar Power Plant Data'!A380)</f>
        <v>4</v>
      </c>
      <c r="D381" s="21" t="str">
        <f>TEXT('Solar Power Plant Data'!A380,"ddd")</f>
        <v>Tue</v>
      </c>
      <c r="E381" s="21">
        <f t="shared" si="1"/>
        <v>0</v>
      </c>
      <c r="F381" s="19">
        <f t="array" ref="F381">IF(ROW()&lt;25,"",INDEX('Solar Power Plant Data'!H:H,ROW()-1))</f>
        <v>0</v>
      </c>
      <c r="G381" s="19">
        <f>IF(ROW()&lt;25,"",AVERAGE(OFFSET('Solar Power Plant Data'!H403,-23,0,24,1)))
</f>
        <v>231828.375</v>
      </c>
      <c r="H381" s="21">
        <f>'Solar Power Plant Data'!H380/MAX('Solar Power Plant Data'!E380,0.0001)
</f>
        <v>0</v>
      </c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</row>
    <row r="382">
      <c r="A382" s="21">
        <f>HOUR('Solar Power Plant Data'!A381)</f>
        <v>2</v>
      </c>
      <c r="B382" s="21">
        <f>DAY('Solar Power Plant Data'!A381)</f>
        <v>12</v>
      </c>
      <c r="C382" s="21">
        <f>MONTH('Solar Power Plant Data'!A381)</f>
        <v>4</v>
      </c>
      <c r="D382" s="21" t="str">
        <f>TEXT('Solar Power Plant Data'!A381,"ddd")</f>
        <v>Wed</v>
      </c>
      <c r="E382" s="21">
        <f t="shared" si="1"/>
        <v>0</v>
      </c>
      <c r="F382" s="19">
        <f t="array" ref="F382">IF(ROW()&lt;25,"",INDEX('Solar Power Plant Data'!H:H,ROW()-1))</f>
        <v>0</v>
      </c>
      <c r="G382" s="19">
        <f>IF(ROW()&lt;25,"",AVERAGE(OFFSET('Solar Power Plant Data'!H404,-23,0,24,1)))
</f>
        <v>231828.375</v>
      </c>
      <c r="H382" s="21">
        <f>'Solar Power Plant Data'!H381/MAX('Solar Power Plant Data'!E381,0.0001)
</f>
        <v>0</v>
      </c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</row>
    <row r="383">
      <c r="A383" s="21">
        <f>HOUR('Solar Power Plant Data'!A382)</f>
        <v>2</v>
      </c>
      <c r="B383" s="21">
        <f>DAY('Solar Power Plant Data'!A382)</f>
        <v>13</v>
      </c>
      <c r="C383" s="21">
        <f>MONTH('Solar Power Plant Data'!A382)</f>
        <v>4</v>
      </c>
      <c r="D383" s="21" t="str">
        <f>TEXT('Solar Power Plant Data'!A382,"ddd")</f>
        <v>Thu</v>
      </c>
      <c r="E383" s="21">
        <f t="shared" si="1"/>
        <v>0</v>
      </c>
      <c r="F383" s="19">
        <f t="array" ref="F383">IF(ROW()&lt;25,"",INDEX('Solar Power Plant Data'!H:H,ROW()-1))</f>
        <v>0</v>
      </c>
      <c r="G383" s="19">
        <f>IF(ROW()&lt;25,"",AVERAGE(OFFSET('Solar Power Plant Data'!H405,-23,0,24,1)))
</f>
        <v>231828.375</v>
      </c>
      <c r="H383" s="21">
        <f>'Solar Power Plant Data'!H382/MAX('Solar Power Plant Data'!E382,0.0001)
</f>
        <v>0</v>
      </c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</row>
    <row r="384">
      <c r="A384" s="21">
        <f>HOUR('Solar Power Plant Data'!A383)</f>
        <v>2</v>
      </c>
      <c r="B384" s="21">
        <f>DAY('Solar Power Plant Data'!A383)</f>
        <v>14</v>
      </c>
      <c r="C384" s="21">
        <f>MONTH('Solar Power Plant Data'!A383)</f>
        <v>4</v>
      </c>
      <c r="D384" s="21" t="str">
        <f>TEXT('Solar Power Plant Data'!A383,"ddd")</f>
        <v>Fri</v>
      </c>
      <c r="E384" s="21">
        <f t="shared" si="1"/>
        <v>0</v>
      </c>
      <c r="F384" s="19">
        <f t="array" ref="F384">IF(ROW()&lt;25,"",INDEX('Solar Power Plant Data'!H:H,ROW()-1))</f>
        <v>0</v>
      </c>
      <c r="G384" s="19">
        <f>IF(ROW()&lt;25,"",AVERAGE(OFFSET('Solar Power Plant Data'!H406,-23,0,24,1)))
</f>
        <v>231828.375</v>
      </c>
      <c r="H384" s="21">
        <f>'Solar Power Plant Data'!H383/MAX('Solar Power Plant Data'!E383,0.0001)
</f>
        <v>0</v>
      </c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</row>
    <row r="385">
      <c r="A385" s="21">
        <f>HOUR('Solar Power Plant Data'!A384)</f>
        <v>2</v>
      </c>
      <c r="B385" s="21">
        <f>DAY('Solar Power Plant Data'!A384)</f>
        <v>15</v>
      </c>
      <c r="C385" s="21">
        <f>MONTH('Solar Power Plant Data'!A384)</f>
        <v>4</v>
      </c>
      <c r="D385" s="21" t="str">
        <f>TEXT('Solar Power Plant Data'!A384,"ddd")</f>
        <v>Sat</v>
      </c>
      <c r="E385" s="21">
        <f t="shared" si="1"/>
        <v>1</v>
      </c>
      <c r="F385" s="19">
        <f t="array" ref="F385">IF(ROW()&lt;25,"",INDEX('Solar Power Plant Data'!H:H,ROW()-1))</f>
        <v>0</v>
      </c>
      <c r="G385" s="19">
        <f>IF(ROW()&lt;25,"",AVERAGE(OFFSET('Solar Power Plant Data'!H407,-23,0,24,1)))
</f>
        <v>231828.375</v>
      </c>
      <c r="H385" s="21">
        <f>'Solar Power Plant Data'!H384/MAX('Solar Power Plant Data'!E384,0.0001)
</f>
        <v>0</v>
      </c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</row>
    <row r="386">
      <c r="A386" s="21">
        <f>HOUR('Solar Power Plant Data'!A385)</f>
        <v>2</v>
      </c>
      <c r="B386" s="21">
        <f>DAY('Solar Power Plant Data'!A385)</f>
        <v>16</v>
      </c>
      <c r="C386" s="21">
        <f>MONTH('Solar Power Plant Data'!A385)</f>
        <v>4</v>
      </c>
      <c r="D386" s="21" t="str">
        <f>TEXT('Solar Power Plant Data'!A385,"ddd")</f>
        <v>Sun</v>
      </c>
      <c r="E386" s="21">
        <f t="shared" si="1"/>
        <v>1</v>
      </c>
      <c r="F386" s="19">
        <f t="array" ref="F386">IF(ROW()&lt;25,"",INDEX('Solar Power Plant Data'!H:H,ROW()-1))</f>
        <v>0</v>
      </c>
      <c r="G386" s="19">
        <f>IF(ROW()&lt;25,"",AVERAGE(OFFSET('Solar Power Plant Data'!H408,-23,0,24,1)))
</f>
        <v>231828.375</v>
      </c>
      <c r="H386" s="21">
        <f>'Solar Power Plant Data'!H385/MAX('Solar Power Plant Data'!E385,0.0001)
</f>
        <v>0</v>
      </c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</row>
    <row r="387">
      <c r="A387" s="21">
        <f>HOUR('Solar Power Plant Data'!A386)</f>
        <v>2</v>
      </c>
      <c r="B387" s="21">
        <f>DAY('Solar Power Plant Data'!A386)</f>
        <v>17</v>
      </c>
      <c r="C387" s="21">
        <f>MONTH('Solar Power Plant Data'!A386)</f>
        <v>4</v>
      </c>
      <c r="D387" s="21" t="str">
        <f>TEXT('Solar Power Plant Data'!A386,"ddd")</f>
        <v>Mon</v>
      </c>
      <c r="E387" s="21">
        <f t="shared" si="1"/>
        <v>0</v>
      </c>
      <c r="F387" s="19">
        <f t="array" ref="F387">IF(ROW()&lt;25,"",INDEX('Solar Power Plant Data'!H:H,ROW()-1))</f>
        <v>0</v>
      </c>
      <c r="G387" s="19">
        <f>IF(ROW()&lt;25,"",AVERAGE(OFFSET('Solar Power Plant Data'!H409,-23,0,24,1)))
</f>
        <v>231828.375</v>
      </c>
      <c r="H387" s="21">
        <f>'Solar Power Plant Data'!H386/MAX('Solar Power Plant Data'!E386,0.0001)
</f>
        <v>0</v>
      </c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</row>
    <row r="388">
      <c r="A388" s="21">
        <f>HOUR('Solar Power Plant Data'!A387)</f>
        <v>2</v>
      </c>
      <c r="B388" s="21">
        <f>DAY('Solar Power Plant Data'!A387)</f>
        <v>18</v>
      </c>
      <c r="C388" s="21">
        <f>MONTH('Solar Power Plant Data'!A387)</f>
        <v>4</v>
      </c>
      <c r="D388" s="21" t="str">
        <f>TEXT('Solar Power Plant Data'!A387,"ddd")</f>
        <v>Tue</v>
      </c>
      <c r="E388" s="21">
        <f t="shared" si="1"/>
        <v>0</v>
      </c>
      <c r="F388" s="19">
        <f t="array" ref="F388">IF(ROW()&lt;25,"",INDEX('Solar Power Plant Data'!H:H,ROW()-1))</f>
        <v>0</v>
      </c>
      <c r="G388" s="19">
        <f>IF(ROW()&lt;25,"",AVERAGE(OFFSET('Solar Power Plant Data'!H410,-23,0,24,1)))
</f>
        <v>231828.375</v>
      </c>
      <c r="H388" s="21">
        <f>'Solar Power Plant Data'!H387/MAX('Solar Power Plant Data'!E387,0.0001)
</f>
        <v>0</v>
      </c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</row>
    <row r="389">
      <c r="A389" s="21">
        <f>HOUR('Solar Power Plant Data'!A388)</f>
        <v>2</v>
      </c>
      <c r="B389" s="21">
        <f>DAY('Solar Power Plant Data'!A388)</f>
        <v>19</v>
      </c>
      <c r="C389" s="21">
        <f>MONTH('Solar Power Plant Data'!A388)</f>
        <v>4</v>
      </c>
      <c r="D389" s="21" t="str">
        <f>TEXT('Solar Power Plant Data'!A388,"ddd")</f>
        <v>Wed</v>
      </c>
      <c r="E389" s="21">
        <f t="shared" si="1"/>
        <v>0</v>
      </c>
      <c r="F389" s="19">
        <f t="array" ref="F389">IF(ROW()&lt;25,"",INDEX('Solar Power Plant Data'!H:H,ROW()-1))</f>
        <v>0</v>
      </c>
      <c r="G389" s="19">
        <f>IF(ROW()&lt;25,"",AVERAGE(OFFSET('Solar Power Plant Data'!H411,-23,0,24,1)))
</f>
        <v>231828.375</v>
      </c>
      <c r="H389" s="21">
        <f>'Solar Power Plant Data'!H388/MAX('Solar Power Plant Data'!E388,0.0001)
</f>
        <v>0</v>
      </c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</row>
    <row r="390">
      <c r="A390" s="21">
        <f>HOUR('Solar Power Plant Data'!A389)</f>
        <v>2</v>
      </c>
      <c r="B390" s="21">
        <f>DAY('Solar Power Plant Data'!A389)</f>
        <v>20</v>
      </c>
      <c r="C390" s="21">
        <f>MONTH('Solar Power Plant Data'!A389)</f>
        <v>4</v>
      </c>
      <c r="D390" s="21" t="str">
        <f>TEXT('Solar Power Plant Data'!A389,"ddd")</f>
        <v>Thu</v>
      </c>
      <c r="E390" s="21">
        <f t="shared" si="1"/>
        <v>0</v>
      </c>
      <c r="F390" s="19">
        <f t="array" ref="F390">IF(ROW()&lt;25,"",INDEX('Solar Power Plant Data'!H:H,ROW()-1))</f>
        <v>0</v>
      </c>
      <c r="G390" s="19">
        <f>IF(ROW()&lt;25,"",AVERAGE(OFFSET('Solar Power Plant Data'!H412,-23,0,24,1)))
</f>
        <v>231828.375</v>
      </c>
      <c r="H390" s="21">
        <f>'Solar Power Plant Data'!H389/MAX('Solar Power Plant Data'!E389,0.0001)
</f>
        <v>0</v>
      </c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</row>
    <row r="391">
      <c r="A391" s="21">
        <f>HOUR('Solar Power Plant Data'!A390)</f>
        <v>2</v>
      </c>
      <c r="B391" s="21">
        <f>DAY('Solar Power Plant Data'!A390)</f>
        <v>21</v>
      </c>
      <c r="C391" s="21">
        <f>MONTH('Solar Power Plant Data'!A390)</f>
        <v>4</v>
      </c>
      <c r="D391" s="21" t="str">
        <f>TEXT('Solar Power Plant Data'!A390,"ddd")</f>
        <v>Fri</v>
      </c>
      <c r="E391" s="21">
        <f t="shared" si="1"/>
        <v>0</v>
      </c>
      <c r="F391" s="19">
        <f t="array" ref="F391">IF(ROW()&lt;25,"",INDEX('Solar Power Plant Data'!H:H,ROW()-1))</f>
        <v>0</v>
      </c>
      <c r="G391" s="19">
        <f>IF(ROW()&lt;25,"",AVERAGE(OFFSET('Solar Power Plant Data'!H413,-23,0,24,1)))
</f>
        <v>231828.375</v>
      </c>
      <c r="H391" s="21">
        <f>'Solar Power Plant Data'!H390/MAX('Solar Power Plant Data'!E390,0.0001)
</f>
        <v>0</v>
      </c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</row>
    <row r="392">
      <c r="A392" s="21">
        <f>HOUR('Solar Power Plant Data'!A391)</f>
        <v>2</v>
      </c>
      <c r="B392" s="21">
        <f>DAY('Solar Power Plant Data'!A391)</f>
        <v>22</v>
      </c>
      <c r="C392" s="21">
        <f>MONTH('Solar Power Plant Data'!A391)</f>
        <v>4</v>
      </c>
      <c r="D392" s="21" t="str">
        <f>TEXT('Solar Power Plant Data'!A391,"ddd")</f>
        <v>Sat</v>
      </c>
      <c r="E392" s="21">
        <f t="shared" si="1"/>
        <v>1</v>
      </c>
      <c r="F392" s="19">
        <f t="array" ref="F392">IF(ROW()&lt;25,"",INDEX('Solar Power Plant Data'!H:H,ROW()-1))</f>
        <v>0</v>
      </c>
      <c r="G392" s="19">
        <f>IF(ROW()&lt;25,"",AVERAGE(OFFSET('Solar Power Plant Data'!H414,-23,0,24,1)))
</f>
        <v>231828.375</v>
      </c>
      <c r="H392" s="21">
        <f>'Solar Power Plant Data'!H391/MAX('Solar Power Plant Data'!E391,0.0001)
</f>
        <v>0</v>
      </c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</row>
    <row r="393">
      <c r="A393" s="21">
        <f>HOUR('Solar Power Plant Data'!A392)</f>
        <v>2</v>
      </c>
      <c r="B393" s="21">
        <f>DAY('Solar Power Plant Data'!A392)</f>
        <v>23</v>
      </c>
      <c r="C393" s="21">
        <f>MONTH('Solar Power Plant Data'!A392)</f>
        <v>4</v>
      </c>
      <c r="D393" s="21" t="str">
        <f>TEXT('Solar Power Plant Data'!A392,"ddd")</f>
        <v>Sun</v>
      </c>
      <c r="E393" s="21">
        <f t="shared" si="1"/>
        <v>1</v>
      </c>
      <c r="F393" s="19">
        <f t="array" ref="F393">IF(ROW()&lt;25,"",INDEX('Solar Power Plant Data'!H:H,ROW()-1))</f>
        <v>0</v>
      </c>
      <c r="G393" s="19">
        <f>IF(ROW()&lt;25,"",AVERAGE(OFFSET('Solar Power Plant Data'!H415,-23,0,24,1)))
</f>
        <v>231828.375</v>
      </c>
      <c r="H393" s="21">
        <f>'Solar Power Plant Data'!H392/MAX('Solar Power Plant Data'!E392,0.0001)
</f>
        <v>0</v>
      </c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</row>
    <row r="394">
      <c r="A394" s="21">
        <f>HOUR('Solar Power Plant Data'!A393)</f>
        <v>2</v>
      </c>
      <c r="B394" s="21">
        <f>DAY('Solar Power Plant Data'!A393)</f>
        <v>24</v>
      </c>
      <c r="C394" s="21">
        <f>MONTH('Solar Power Plant Data'!A393)</f>
        <v>4</v>
      </c>
      <c r="D394" s="21" t="str">
        <f>TEXT('Solar Power Plant Data'!A393,"ddd")</f>
        <v>Mon</v>
      </c>
      <c r="E394" s="21">
        <f t="shared" si="1"/>
        <v>0</v>
      </c>
      <c r="F394" s="19">
        <f t="array" ref="F394">IF(ROW()&lt;25,"",INDEX('Solar Power Plant Data'!H:H,ROW()-1))</f>
        <v>0</v>
      </c>
      <c r="G394" s="19">
        <f>IF(ROW()&lt;25,"",AVERAGE(OFFSET('Solar Power Plant Data'!H416,-23,0,24,1)))
</f>
        <v>231828.375</v>
      </c>
      <c r="H394" s="21">
        <f>'Solar Power Plant Data'!H393/MAX('Solar Power Plant Data'!E393,0.0001)
</f>
        <v>0</v>
      </c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</row>
    <row r="395">
      <c r="A395" s="21">
        <f>HOUR('Solar Power Plant Data'!A394)</f>
        <v>2</v>
      </c>
      <c r="B395" s="21">
        <f>DAY('Solar Power Plant Data'!A394)</f>
        <v>25</v>
      </c>
      <c r="C395" s="21">
        <f>MONTH('Solar Power Plant Data'!A394)</f>
        <v>4</v>
      </c>
      <c r="D395" s="21" t="str">
        <f>TEXT('Solar Power Plant Data'!A394,"ddd")</f>
        <v>Tue</v>
      </c>
      <c r="E395" s="21">
        <f t="shared" si="1"/>
        <v>0</v>
      </c>
      <c r="F395" s="19">
        <f t="array" ref="F395">IF(ROW()&lt;25,"",INDEX('Solar Power Plant Data'!H:H,ROW()-1))</f>
        <v>0</v>
      </c>
      <c r="G395" s="19">
        <f>IF(ROW()&lt;25,"",AVERAGE(OFFSET('Solar Power Plant Data'!H417,-23,0,24,1)))
</f>
        <v>231828.375</v>
      </c>
      <c r="H395" s="21">
        <f>'Solar Power Plant Data'!H394/MAX('Solar Power Plant Data'!E394,0.0001)
</f>
        <v>0</v>
      </c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</row>
    <row r="396">
      <c r="A396" s="21">
        <f>HOUR('Solar Power Plant Data'!A395)</f>
        <v>2</v>
      </c>
      <c r="B396" s="21">
        <f>DAY('Solar Power Plant Data'!A395)</f>
        <v>26</v>
      </c>
      <c r="C396" s="21">
        <f>MONTH('Solar Power Plant Data'!A395)</f>
        <v>4</v>
      </c>
      <c r="D396" s="21" t="str">
        <f>TEXT('Solar Power Plant Data'!A395,"ddd")</f>
        <v>Wed</v>
      </c>
      <c r="E396" s="21">
        <f t="shared" si="1"/>
        <v>0</v>
      </c>
      <c r="F396" s="19">
        <f t="array" ref="F396">IF(ROW()&lt;25,"",INDEX('Solar Power Plant Data'!H:H,ROW()-1))</f>
        <v>0</v>
      </c>
      <c r="G396" s="19">
        <f>IF(ROW()&lt;25,"",AVERAGE(OFFSET('Solar Power Plant Data'!H418,-23,0,24,1)))
</f>
        <v>231828.375</v>
      </c>
      <c r="H396" s="21">
        <f>'Solar Power Plant Data'!H395/MAX('Solar Power Plant Data'!E395,0.0001)
</f>
        <v>0</v>
      </c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</row>
    <row r="397">
      <c r="A397" s="21">
        <f>HOUR('Solar Power Plant Data'!A396)</f>
        <v>2</v>
      </c>
      <c r="B397" s="21">
        <f>DAY('Solar Power Plant Data'!A396)</f>
        <v>27</v>
      </c>
      <c r="C397" s="21">
        <f>MONTH('Solar Power Plant Data'!A396)</f>
        <v>4</v>
      </c>
      <c r="D397" s="21" t="str">
        <f>TEXT('Solar Power Plant Data'!A396,"ddd")</f>
        <v>Thu</v>
      </c>
      <c r="E397" s="21">
        <f t="shared" si="1"/>
        <v>0</v>
      </c>
      <c r="F397" s="19">
        <f t="array" ref="F397">IF(ROW()&lt;25,"",INDEX('Solar Power Plant Data'!H:H,ROW()-1))</f>
        <v>0</v>
      </c>
      <c r="G397" s="19">
        <f>IF(ROW()&lt;25,"",AVERAGE(OFFSET('Solar Power Plant Data'!H419,-23,0,24,1)))
</f>
        <v>231828.375</v>
      </c>
      <c r="H397" s="21">
        <f>'Solar Power Plant Data'!H396/MAX('Solar Power Plant Data'!E396,0.0001)
</f>
        <v>0</v>
      </c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</row>
    <row r="398">
      <c r="A398" s="21">
        <f>HOUR('Solar Power Plant Data'!A397)</f>
        <v>2</v>
      </c>
      <c r="B398" s="21">
        <f>DAY('Solar Power Plant Data'!A397)</f>
        <v>28</v>
      </c>
      <c r="C398" s="21">
        <f>MONTH('Solar Power Plant Data'!A397)</f>
        <v>4</v>
      </c>
      <c r="D398" s="21" t="str">
        <f>TEXT('Solar Power Plant Data'!A397,"ddd")</f>
        <v>Fri</v>
      </c>
      <c r="E398" s="21">
        <f t="shared" si="1"/>
        <v>0</v>
      </c>
      <c r="F398" s="19">
        <f t="array" ref="F398">IF(ROW()&lt;25,"",INDEX('Solar Power Plant Data'!H:H,ROW()-1))</f>
        <v>218</v>
      </c>
      <c r="G398" s="19">
        <f>IF(ROW()&lt;25,"",AVERAGE(OFFSET('Solar Power Plant Data'!H420,-23,0,24,1)))
</f>
        <v>231828.375</v>
      </c>
      <c r="H398" s="21">
        <f>'Solar Power Plant Data'!H397/MAX('Solar Power Plant Data'!E397,0.0001)
</f>
        <v>3.633333333</v>
      </c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</row>
    <row r="399">
      <c r="A399" s="21">
        <f>HOUR('Solar Power Plant Data'!A398)</f>
        <v>2</v>
      </c>
      <c r="B399" s="21">
        <f>DAY('Solar Power Plant Data'!A398)</f>
        <v>29</v>
      </c>
      <c r="C399" s="21">
        <f>MONTH('Solar Power Plant Data'!A398)</f>
        <v>4</v>
      </c>
      <c r="D399" s="21" t="str">
        <f>TEXT('Solar Power Plant Data'!A398,"ddd")</f>
        <v>Sat</v>
      </c>
      <c r="E399" s="21">
        <f t="shared" si="1"/>
        <v>1</v>
      </c>
      <c r="F399" s="19">
        <f t="array" ref="F399">IF(ROW()&lt;25,"",INDEX('Solar Power Plant Data'!H:H,ROW()-1))</f>
        <v>328</v>
      </c>
      <c r="G399" s="19">
        <f>IF(ROW()&lt;25,"",AVERAGE(OFFSET('Solar Power Plant Data'!H421,-23,0,24,1)))
</f>
        <v>231839.6667</v>
      </c>
      <c r="H399" s="21">
        <f>'Solar Power Plant Data'!H398/MAX('Solar Power Plant Data'!E398,0.0001)
</f>
        <v>3280000</v>
      </c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</row>
    <row r="400">
      <c r="A400" s="21">
        <f>HOUR('Solar Power Plant Data'!A399)</f>
        <v>2</v>
      </c>
      <c r="B400" s="21">
        <f>DAY('Solar Power Plant Data'!A399)</f>
        <v>30</v>
      </c>
      <c r="C400" s="21">
        <f>MONTH('Solar Power Plant Data'!A399)</f>
        <v>4</v>
      </c>
      <c r="D400" s="21" t="str">
        <f>TEXT('Solar Power Plant Data'!A399,"ddd")</f>
        <v>Sun</v>
      </c>
      <c r="E400" s="21">
        <f t="shared" si="1"/>
        <v>1</v>
      </c>
      <c r="F400" s="19">
        <f t="array" ref="F400">IF(ROW()&lt;25,"",INDEX('Solar Power Plant Data'!H:H,ROW()-1))</f>
        <v>2768334</v>
      </c>
      <c r="G400" s="19">
        <f>IF(ROW()&lt;25,"",AVERAGE(OFFSET('Solar Power Plant Data'!H422,-23,0,24,1)))
</f>
        <v>464534.2917</v>
      </c>
      <c r="H400" s="21">
        <f>'Solar Power Plant Data'!H399/MAX('Solar Power Plant Data'!E399,0.0001)
</f>
        <v>27683340000</v>
      </c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</row>
    <row r="401">
      <c r="A401" s="21">
        <f>HOUR('Solar Power Plant Data'!A400)</f>
        <v>2</v>
      </c>
      <c r="B401" s="21">
        <f>DAY('Solar Power Plant Data'!A400)</f>
        <v>1</v>
      </c>
      <c r="C401" s="21">
        <f>MONTH('Solar Power Plant Data'!A400)</f>
        <v>5</v>
      </c>
      <c r="D401" s="21" t="str">
        <f>TEXT('Solar Power Plant Data'!A400,"ddd")</f>
        <v>Mon</v>
      </c>
      <c r="E401" s="21">
        <f t="shared" si="1"/>
        <v>0</v>
      </c>
      <c r="F401" s="19">
        <f t="array" ref="F401">IF(ROW()&lt;25,"",INDEX('Solar Power Plant Data'!H:H,ROW()-1))</f>
        <v>2471667</v>
      </c>
      <c r="G401" s="19">
        <f>IF(ROW()&lt;25,"",AVERAGE(OFFSET('Solar Power Plant Data'!H423,-23,0,24,1)))
</f>
        <v>609881.4583</v>
      </c>
      <c r="H401" s="21">
        <f>'Solar Power Plant Data'!H400/MAX('Solar Power Plant Data'!E400,0.0001)
</f>
        <v>24716670000</v>
      </c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</row>
    <row r="402">
      <c r="A402" s="21">
        <f>HOUR('Solar Power Plant Data'!A401)</f>
        <v>2</v>
      </c>
      <c r="B402" s="21">
        <f>DAY('Solar Power Plant Data'!A401)</f>
        <v>2</v>
      </c>
      <c r="C402" s="21">
        <f>MONTH('Solar Power Plant Data'!A401)</f>
        <v>5</v>
      </c>
      <c r="D402" s="21" t="str">
        <f>TEXT('Solar Power Plant Data'!A401,"ddd")</f>
        <v>Tue</v>
      </c>
      <c r="E402" s="21">
        <f t="shared" si="1"/>
        <v>0</v>
      </c>
      <c r="F402" s="19">
        <f t="array" ref="F402">IF(ROW()&lt;25,"",INDEX('Solar Power Plant Data'!H:H,ROW()-1))</f>
        <v>323334</v>
      </c>
      <c r="G402" s="19">
        <f>IF(ROW()&lt;25,"",AVERAGE(OFFSET('Solar Power Plant Data'!H424,-23,0,24,1)))
</f>
        <v>745992.5417</v>
      </c>
      <c r="H402" s="21">
        <f>'Solar Power Plant Data'!H401/MAX('Solar Power Plant Data'!E401,0.0001)
</f>
        <v>3233340000</v>
      </c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</row>
    <row r="403">
      <c r="A403" s="21">
        <f>HOUR('Solar Power Plant Data'!A402)</f>
        <v>2</v>
      </c>
      <c r="B403" s="21">
        <f>DAY('Solar Power Plant Data'!A402)</f>
        <v>3</v>
      </c>
      <c r="C403" s="21">
        <f>MONTH('Solar Power Plant Data'!A402)</f>
        <v>5</v>
      </c>
      <c r="D403" s="21" t="str">
        <f>TEXT('Solar Power Plant Data'!A402,"ddd")</f>
        <v>Wed</v>
      </c>
      <c r="E403" s="21">
        <f t="shared" si="1"/>
        <v>0</v>
      </c>
      <c r="F403" s="19">
        <f t="array" ref="F403">IF(ROW()&lt;25,"",INDEX('Solar Power Plant Data'!H:H,ROW()-1))</f>
        <v>0</v>
      </c>
      <c r="G403" s="19">
        <f>IF(ROW()&lt;25,"",AVERAGE(OFFSET('Solar Power Plant Data'!H425,-23,0,24,1)))
</f>
        <v>931825.8333</v>
      </c>
      <c r="H403" s="21">
        <f>'Solar Power Plant Data'!H402/MAX('Solar Power Plant Data'!E402,0.0001)
</f>
        <v>0</v>
      </c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</row>
    <row r="404">
      <c r="A404" s="21">
        <f>HOUR('Solar Power Plant Data'!A403)</f>
        <v>2</v>
      </c>
      <c r="B404" s="21">
        <f>DAY('Solar Power Plant Data'!A403)</f>
        <v>4</v>
      </c>
      <c r="C404" s="21">
        <f>MONTH('Solar Power Plant Data'!A403)</f>
        <v>5</v>
      </c>
      <c r="D404" s="21" t="str">
        <f>TEXT('Solar Power Plant Data'!A403,"ddd")</f>
        <v>Thu</v>
      </c>
      <c r="E404" s="21">
        <f t="shared" si="1"/>
        <v>0</v>
      </c>
      <c r="F404" s="19">
        <f t="array" ref="F404">IF(ROW()&lt;25,"",INDEX('Solar Power Plant Data'!H:H,ROW()-1))</f>
        <v>0</v>
      </c>
      <c r="G404" s="19">
        <f>IF(ROW()&lt;25,"",AVERAGE(OFFSET('Solar Power Plant Data'!H426,-23,0,24,1)))
</f>
        <v>962103.625</v>
      </c>
      <c r="H404" s="21">
        <f>'Solar Power Plant Data'!H403/MAX('Solar Power Plant Data'!E403,0.0001)
</f>
        <v>0</v>
      </c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</row>
    <row r="405">
      <c r="A405" s="21">
        <f>HOUR('Solar Power Plant Data'!A404)</f>
        <v>2</v>
      </c>
      <c r="B405" s="21">
        <f>DAY('Solar Power Plant Data'!A404)</f>
        <v>5</v>
      </c>
      <c r="C405" s="21">
        <f>MONTH('Solar Power Plant Data'!A404)</f>
        <v>5</v>
      </c>
      <c r="D405" s="21" t="str">
        <f>TEXT('Solar Power Plant Data'!A404,"ddd")</f>
        <v>Fri</v>
      </c>
      <c r="E405" s="21">
        <f t="shared" si="1"/>
        <v>0</v>
      </c>
      <c r="F405" s="19">
        <f t="array" ref="F405">IF(ROW()&lt;25,"",INDEX('Solar Power Plant Data'!H:H,ROW()-1))</f>
        <v>0</v>
      </c>
      <c r="G405" s="19">
        <f>IF(ROW()&lt;25,"",AVERAGE(OFFSET('Solar Power Plant Data'!H427,-23,0,24,1)))
</f>
        <v>962103.625</v>
      </c>
      <c r="H405" s="21">
        <f>'Solar Power Plant Data'!H404/MAX('Solar Power Plant Data'!E404,0.0001)
</f>
        <v>0</v>
      </c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</row>
    <row r="406">
      <c r="A406" s="21">
        <f>HOUR('Solar Power Plant Data'!A405)</f>
        <v>2</v>
      </c>
      <c r="B406" s="21">
        <f>DAY('Solar Power Plant Data'!A405)</f>
        <v>6</v>
      </c>
      <c r="C406" s="21">
        <f>MONTH('Solar Power Plant Data'!A405)</f>
        <v>5</v>
      </c>
      <c r="D406" s="21" t="str">
        <f>TEXT('Solar Power Plant Data'!A405,"ddd")</f>
        <v>Sat</v>
      </c>
      <c r="E406" s="21">
        <f t="shared" si="1"/>
        <v>1</v>
      </c>
      <c r="F406" s="19">
        <f t="array" ref="F406">IF(ROW()&lt;25,"",INDEX('Solar Power Plant Data'!H:H,ROW()-1))</f>
        <v>0</v>
      </c>
      <c r="G406" s="19">
        <f>IF(ROW()&lt;25,"",AVERAGE(OFFSET('Solar Power Plant Data'!H428,-23,0,24,1)))
</f>
        <v>962103.625</v>
      </c>
      <c r="H406" s="21">
        <f>'Solar Power Plant Data'!H405/MAX('Solar Power Plant Data'!E405,0.0001)
</f>
        <v>0</v>
      </c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</row>
    <row r="407">
      <c r="A407" s="21">
        <f>HOUR('Solar Power Plant Data'!A406)</f>
        <v>2</v>
      </c>
      <c r="B407" s="21">
        <f>DAY('Solar Power Plant Data'!A406)</f>
        <v>7</v>
      </c>
      <c r="C407" s="21">
        <f>MONTH('Solar Power Plant Data'!A406)</f>
        <v>5</v>
      </c>
      <c r="D407" s="21" t="str">
        <f>TEXT('Solar Power Plant Data'!A406,"ddd")</f>
        <v>Sun</v>
      </c>
      <c r="E407" s="21">
        <f t="shared" si="1"/>
        <v>1</v>
      </c>
      <c r="F407" s="19">
        <f t="array" ref="F407">IF(ROW()&lt;25,"",INDEX('Solar Power Plant Data'!H:H,ROW()-1))</f>
        <v>0</v>
      </c>
      <c r="G407" s="19">
        <f>IF(ROW()&lt;25,"",AVERAGE(OFFSET('Solar Power Plant Data'!H429,-23,0,24,1)))
</f>
        <v>962103.625</v>
      </c>
      <c r="H407" s="21">
        <f>'Solar Power Plant Data'!H406/MAX('Solar Power Plant Data'!E406,0.0001)
</f>
        <v>0</v>
      </c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</row>
    <row r="408">
      <c r="A408" s="21">
        <f>HOUR('Solar Power Plant Data'!A407)</f>
        <v>2</v>
      </c>
      <c r="B408" s="21">
        <f>DAY('Solar Power Plant Data'!A407)</f>
        <v>8</v>
      </c>
      <c r="C408" s="21">
        <f>MONTH('Solar Power Plant Data'!A407)</f>
        <v>5</v>
      </c>
      <c r="D408" s="21" t="str">
        <f>TEXT('Solar Power Plant Data'!A407,"ddd")</f>
        <v>Mon</v>
      </c>
      <c r="E408" s="21">
        <f t="shared" si="1"/>
        <v>0</v>
      </c>
      <c r="F408" s="19">
        <f t="array" ref="F408">IF(ROW()&lt;25,"",INDEX('Solar Power Plant Data'!H:H,ROW()-1))</f>
        <v>0</v>
      </c>
      <c r="G408" s="19">
        <f>IF(ROW()&lt;25,"",AVERAGE(OFFSET('Solar Power Plant Data'!H430,-23,0,24,1)))
</f>
        <v>962103.625</v>
      </c>
      <c r="H408" s="21">
        <f>'Solar Power Plant Data'!H407/MAX('Solar Power Plant Data'!E407,0.0001)
</f>
        <v>0</v>
      </c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</row>
    <row r="409">
      <c r="A409" s="21">
        <f>HOUR('Solar Power Plant Data'!A408)</f>
        <v>2</v>
      </c>
      <c r="B409" s="21">
        <f>DAY('Solar Power Plant Data'!A408)</f>
        <v>9</v>
      </c>
      <c r="C409" s="21">
        <f>MONTH('Solar Power Plant Data'!A408)</f>
        <v>5</v>
      </c>
      <c r="D409" s="21" t="str">
        <f>TEXT('Solar Power Plant Data'!A408,"ddd")</f>
        <v>Tue</v>
      </c>
      <c r="E409" s="21">
        <f t="shared" si="1"/>
        <v>0</v>
      </c>
      <c r="F409" s="19">
        <f t="array" ref="F409">IF(ROW()&lt;25,"",INDEX('Solar Power Plant Data'!H:H,ROW()-1))</f>
        <v>0</v>
      </c>
      <c r="G409" s="19">
        <f>IF(ROW()&lt;25,"",AVERAGE(OFFSET('Solar Power Plant Data'!H431,-23,0,24,1)))
</f>
        <v>962103.625</v>
      </c>
      <c r="H409" s="21">
        <f>'Solar Power Plant Data'!H408/MAX('Solar Power Plant Data'!E408,0.0001)
</f>
        <v>0</v>
      </c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</row>
    <row r="410">
      <c r="A410" s="21">
        <f>HOUR('Solar Power Plant Data'!A409)</f>
        <v>2</v>
      </c>
      <c r="B410" s="21">
        <f>DAY('Solar Power Plant Data'!A409)</f>
        <v>10</v>
      </c>
      <c r="C410" s="21">
        <f>MONTH('Solar Power Plant Data'!A409)</f>
        <v>5</v>
      </c>
      <c r="D410" s="21" t="str">
        <f>TEXT('Solar Power Plant Data'!A409,"ddd")</f>
        <v>Wed</v>
      </c>
      <c r="E410" s="21">
        <f t="shared" si="1"/>
        <v>0</v>
      </c>
      <c r="F410" s="19">
        <f t="array" ref="F410">IF(ROW()&lt;25,"",INDEX('Solar Power Plant Data'!H:H,ROW()-1))</f>
        <v>0</v>
      </c>
      <c r="G410" s="19">
        <f>IF(ROW()&lt;25,"",AVERAGE(OFFSET('Solar Power Plant Data'!H432,-23,0,24,1)))
</f>
        <v>962103.625</v>
      </c>
      <c r="H410" s="21">
        <f>'Solar Power Plant Data'!H409/MAX('Solar Power Plant Data'!E409,0.0001)
</f>
        <v>0</v>
      </c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</row>
    <row r="411">
      <c r="A411" s="21">
        <f>HOUR('Solar Power Plant Data'!A410)</f>
        <v>2</v>
      </c>
      <c r="B411" s="21">
        <f>DAY('Solar Power Plant Data'!A410)</f>
        <v>11</v>
      </c>
      <c r="C411" s="21">
        <f>MONTH('Solar Power Plant Data'!A410)</f>
        <v>5</v>
      </c>
      <c r="D411" s="21" t="str">
        <f>TEXT('Solar Power Plant Data'!A410,"ddd")</f>
        <v>Thu</v>
      </c>
      <c r="E411" s="21">
        <f t="shared" si="1"/>
        <v>0</v>
      </c>
      <c r="F411" s="19">
        <f t="array" ref="F411">IF(ROW()&lt;25,"",INDEX('Solar Power Plant Data'!H:H,ROW()-1))</f>
        <v>0</v>
      </c>
      <c r="G411" s="19">
        <f>IF(ROW()&lt;25,"",AVERAGE(OFFSET('Solar Power Plant Data'!H433,-23,0,24,1)))
</f>
        <v>962103.625</v>
      </c>
      <c r="H411" s="21">
        <f>'Solar Power Plant Data'!H410/MAX('Solar Power Plant Data'!E410,0.0001)
</f>
        <v>0</v>
      </c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</row>
    <row r="412">
      <c r="A412" s="21">
        <f>HOUR('Solar Power Plant Data'!A411)</f>
        <v>2</v>
      </c>
      <c r="B412" s="21">
        <f>DAY('Solar Power Plant Data'!A411)</f>
        <v>12</v>
      </c>
      <c r="C412" s="21">
        <f>MONTH('Solar Power Plant Data'!A411)</f>
        <v>5</v>
      </c>
      <c r="D412" s="21" t="str">
        <f>TEXT('Solar Power Plant Data'!A411,"ddd")</f>
        <v>Fri</v>
      </c>
      <c r="E412" s="21">
        <f t="shared" si="1"/>
        <v>0</v>
      </c>
      <c r="F412" s="19">
        <f t="array" ref="F412">IF(ROW()&lt;25,"",INDEX('Solar Power Plant Data'!H:H,ROW()-1))</f>
        <v>0</v>
      </c>
      <c r="G412" s="19">
        <f>IF(ROW()&lt;25,"",AVERAGE(OFFSET('Solar Power Plant Data'!H434,-23,0,24,1)))
</f>
        <v>962103.625</v>
      </c>
      <c r="H412" s="21">
        <f>'Solar Power Plant Data'!H411/MAX('Solar Power Plant Data'!E411,0.0001)
</f>
        <v>0</v>
      </c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</row>
    <row r="413">
      <c r="A413" s="21">
        <f>HOUR('Solar Power Plant Data'!A412)</f>
        <v>2</v>
      </c>
      <c r="B413" s="21">
        <f>DAY('Solar Power Plant Data'!A412)</f>
        <v>13</v>
      </c>
      <c r="C413" s="21">
        <f>MONTH('Solar Power Plant Data'!A412)</f>
        <v>5</v>
      </c>
      <c r="D413" s="21" t="str">
        <f>TEXT('Solar Power Plant Data'!A412,"ddd")</f>
        <v>Sat</v>
      </c>
      <c r="E413" s="21">
        <f t="shared" si="1"/>
        <v>1</v>
      </c>
      <c r="F413" s="19">
        <f t="array" ref="F413">IF(ROW()&lt;25,"",INDEX('Solar Power Plant Data'!H:H,ROW()-1))</f>
        <v>0</v>
      </c>
      <c r="G413" s="19">
        <f>IF(ROW()&lt;25,"",AVERAGE(OFFSET('Solar Power Plant Data'!H435,-23,0,24,1)))
</f>
        <v>962103.625</v>
      </c>
      <c r="H413" s="21">
        <f>'Solar Power Plant Data'!H412/MAX('Solar Power Plant Data'!E412,0.0001)
</f>
        <v>0</v>
      </c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</row>
    <row r="414">
      <c r="A414" s="21">
        <f>HOUR('Solar Power Plant Data'!A413)</f>
        <v>2</v>
      </c>
      <c r="B414" s="21">
        <f>DAY('Solar Power Plant Data'!A413)</f>
        <v>14</v>
      </c>
      <c r="C414" s="21">
        <f>MONTH('Solar Power Plant Data'!A413)</f>
        <v>5</v>
      </c>
      <c r="D414" s="21" t="str">
        <f>TEXT('Solar Power Plant Data'!A413,"ddd")</f>
        <v>Sun</v>
      </c>
      <c r="E414" s="21">
        <f t="shared" si="1"/>
        <v>1</v>
      </c>
      <c r="F414" s="19">
        <f t="array" ref="F414">IF(ROW()&lt;25,"",INDEX('Solar Power Plant Data'!H:H,ROW()-1))</f>
        <v>0</v>
      </c>
      <c r="G414" s="19">
        <f>IF(ROW()&lt;25,"",AVERAGE(OFFSET('Solar Power Plant Data'!H436,-23,0,24,1)))
</f>
        <v>962103.625</v>
      </c>
      <c r="H414" s="21">
        <f>'Solar Power Plant Data'!H413/MAX('Solar Power Plant Data'!E413,0.0001)
</f>
        <v>0</v>
      </c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</row>
    <row r="415">
      <c r="A415" s="21">
        <f>HOUR('Solar Power Plant Data'!A414)</f>
        <v>2</v>
      </c>
      <c r="B415" s="21">
        <f>DAY('Solar Power Plant Data'!A414)</f>
        <v>15</v>
      </c>
      <c r="C415" s="21">
        <f>MONTH('Solar Power Plant Data'!A414)</f>
        <v>5</v>
      </c>
      <c r="D415" s="21" t="str">
        <f>TEXT('Solar Power Plant Data'!A414,"ddd")</f>
        <v>Mon</v>
      </c>
      <c r="E415" s="21">
        <f t="shared" si="1"/>
        <v>0</v>
      </c>
      <c r="F415" s="19">
        <f t="array" ref="F415">IF(ROW()&lt;25,"",INDEX('Solar Power Plant Data'!H:H,ROW()-1))</f>
        <v>0</v>
      </c>
      <c r="G415" s="19">
        <f>IF(ROW()&lt;25,"",AVERAGE(OFFSET('Solar Power Plant Data'!H437,-23,0,24,1)))
</f>
        <v>962103.625</v>
      </c>
      <c r="H415" s="21">
        <f>'Solar Power Plant Data'!H414/MAX('Solar Power Plant Data'!E414,0.0001)
</f>
        <v>0</v>
      </c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</row>
    <row r="416">
      <c r="A416" s="21">
        <f>HOUR('Solar Power Plant Data'!A415)</f>
        <v>2</v>
      </c>
      <c r="B416" s="21">
        <f>DAY('Solar Power Plant Data'!A415)</f>
        <v>16</v>
      </c>
      <c r="C416" s="21">
        <f>MONTH('Solar Power Plant Data'!A415)</f>
        <v>5</v>
      </c>
      <c r="D416" s="21" t="str">
        <f>TEXT('Solar Power Plant Data'!A415,"ddd")</f>
        <v>Tue</v>
      </c>
      <c r="E416" s="21">
        <f t="shared" si="1"/>
        <v>0</v>
      </c>
      <c r="F416" s="19">
        <f t="array" ref="F416">IF(ROW()&lt;25,"",INDEX('Solar Power Plant Data'!H:H,ROW()-1))</f>
        <v>0</v>
      </c>
      <c r="G416" s="19">
        <f>IF(ROW()&lt;25,"",AVERAGE(OFFSET('Solar Power Plant Data'!H438,-23,0,24,1)))
</f>
        <v>962103.625</v>
      </c>
      <c r="H416" s="21">
        <f>'Solar Power Plant Data'!H415/MAX('Solar Power Plant Data'!E415,0.0001)
</f>
        <v>0</v>
      </c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</row>
    <row r="417">
      <c r="A417" s="21">
        <f>HOUR('Solar Power Plant Data'!A416)</f>
        <v>2</v>
      </c>
      <c r="B417" s="21">
        <f>DAY('Solar Power Plant Data'!A416)</f>
        <v>17</v>
      </c>
      <c r="C417" s="21">
        <f>MONTH('Solar Power Plant Data'!A416)</f>
        <v>5</v>
      </c>
      <c r="D417" s="21" t="str">
        <f>TEXT('Solar Power Plant Data'!A416,"ddd")</f>
        <v>Wed</v>
      </c>
      <c r="E417" s="21">
        <f t="shared" si="1"/>
        <v>0</v>
      </c>
      <c r="F417" s="19">
        <f t="array" ref="F417">IF(ROW()&lt;25,"",INDEX('Solar Power Plant Data'!H:H,ROW()-1))</f>
        <v>0</v>
      </c>
      <c r="G417" s="19">
        <f>IF(ROW()&lt;25,"",AVERAGE(OFFSET('Solar Power Plant Data'!H439,-23,0,24,1)))
</f>
        <v>962103.625</v>
      </c>
      <c r="H417" s="21">
        <f>'Solar Power Plant Data'!H416/MAX('Solar Power Plant Data'!E416,0.0001)
</f>
        <v>0</v>
      </c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</row>
    <row r="418">
      <c r="A418" s="21">
        <f>HOUR('Solar Power Plant Data'!A417)</f>
        <v>2</v>
      </c>
      <c r="B418" s="21">
        <f>DAY('Solar Power Plant Data'!A417)</f>
        <v>18</v>
      </c>
      <c r="C418" s="21">
        <f>MONTH('Solar Power Plant Data'!A417)</f>
        <v>5</v>
      </c>
      <c r="D418" s="21" t="str">
        <f>TEXT('Solar Power Plant Data'!A417,"ddd")</f>
        <v>Thu</v>
      </c>
      <c r="E418" s="21">
        <f t="shared" si="1"/>
        <v>0</v>
      </c>
      <c r="F418" s="19">
        <f t="array" ref="F418">IF(ROW()&lt;25,"",INDEX('Solar Power Plant Data'!H:H,ROW()-1))</f>
        <v>0</v>
      </c>
      <c r="G418" s="19">
        <f>IF(ROW()&lt;25,"",AVERAGE(OFFSET('Solar Power Plant Data'!H440,-23,0,24,1)))
</f>
        <v>962103.625</v>
      </c>
      <c r="H418" s="21">
        <f>'Solar Power Plant Data'!H417/MAX('Solar Power Plant Data'!E417,0.0001)
</f>
        <v>0</v>
      </c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</row>
    <row r="419">
      <c r="A419" s="21">
        <f>HOUR('Solar Power Plant Data'!A418)</f>
        <v>2</v>
      </c>
      <c r="B419" s="21">
        <f>DAY('Solar Power Plant Data'!A418)</f>
        <v>19</v>
      </c>
      <c r="C419" s="21">
        <f>MONTH('Solar Power Plant Data'!A418)</f>
        <v>5</v>
      </c>
      <c r="D419" s="21" t="str">
        <f>TEXT('Solar Power Plant Data'!A418,"ddd")</f>
        <v>Fri</v>
      </c>
      <c r="E419" s="21">
        <f t="shared" si="1"/>
        <v>0</v>
      </c>
      <c r="F419" s="19">
        <f t="array" ref="F419">IF(ROW()&lt;25,"",INDEX('Solar Power Plant Data'!H:H,ROW()-1))</f>
        <v>0</v>
      </c>
      <c r="G419" s="19">
        <f>IF(ROW()&lt;25,"",AVERAGE(OFFSET('Solar Power Plant Data'!H441,-23,0,24,1)))
</f>
        <v>962103.625</v>
      </c>
      <c r="H419" s="21">
        <f>'Solar Power Plant Data'!H418/MAX('Solar Power Plant Data'!E418,0.0001)
</f>
        <v>0</v>
      </c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</row>
    <row r="420">
      <c r="A420" s="21">
        <f>HOUR('Solar Power Plant Data'!A419)</f>
        <v>2</v>
      </c>
      <c r="B420" s="21">
        <f>DAY('Solar Power Plant Data'!A419)</f>
        <v>20</v>
      </c>
      <c r="C420" s="21">
        <f>MONTH('Solar Power Plant Data'!A419)</f>
        <v>5</v>
      </c>
      <c r="D420" s="21" t="str">
        <f>TEXT('Solar Power Plant Data'!A419,"ddd")</f>
        <v>Sat</v>
      </c>
      <c r="E420" s="21">
        <f t="shared" si="1"/>
        <v>1</v>
      </c>
      <c r="F420" s="19">
        <f t="array" ref="F420">IF(ROW()&lt;25,"",INDEX('Solar Power Plant Data'!H:H,ROW()-1))</f>
        <v>0</v>
      </c>
      <c r="G420" s="19">
        <f>IF(ROW()&lt;25,"",AVERAGE(OFFSET('Solar Power Plant Data'!H442,-23,0,24,1)))
</f>
        <v>962103.625</v>
      </c>
      <c r="H420" s="21">
        <f>'Solar Power Plant Data'!H419/MAX('Solar Power Plant Data'!E419,0.0001)
</f>
        <v>0</v>
      </c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</row>
    <row r="421">
      <c r="A421" s="21">
        <f>HOUR('Solar Power Plant Data'!A420)</f>
        <v>2</v>
      </c>
      <c r="B421" s="21">
        <f>DAY('Solar Power Plant Data'!A420)</f>
        <v>21</v>
      </c>
      <c r="C421" s="21">
        <f>MONTH('Solar Power Plant Data'!A420)</f>
        <v>5</v>
      </c>
      <c r="D421" s="21" t="str">
        <f>TEXT('Solar Power Plant Data'!A420,"ddd")</f>
        <v>Sun</v>
      </c>
      <c r="E421" s="21">
        <f t="shared" si="1"/>
        <v>1</v>
      </c>
      <c r="F421" s="19">
        <f t="array" ref="F421">IF(ROW()&lt;25,"",INDEX('Solar Power Plant Data'!H:H,ROW()-1))</f>
        <v>0</v>
      </c>
      <c r="G421" s="19">
        <f>IF(ROW()&lt;25,"",AVERAGE(OFFSET('Solar Power Plant Data'!H443,-23,0,24,1)))
</f>
        <v>962103.625</v>
      </c>
      <c r="H421" s="21">
        <f>'Solar Power Plant Data'!H420/MAX('Solar Power Plant Data'!E420,0.0001)
</f>
        <v>0</v>
      </c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</row>
    <row r="422">
      <c r="A422" s="21">
        <f>HOUR('Solar Power Plant Data'!A421)</f>
        <v>2</v>
      </c>
      <c r="B422" s="21">
        <f>DAY('Solar Power Plant Data'!A421)</f>
        <v>22</v>
      </c>
      <c r="C422" s="21">
        <f>MONTH('Solar Power Plant Data'!A421)</f>
        <v>5</v>
      </c>
      <c r="D422" s="21" t="str">
        <f>TEXT('Solar Power Plant Data'!A421,"ddd")</f>
        <v>Mon</v>
      </c>
      <c r="E422" s="21">
        <f t="shared" si="1"/>
        <v>0</v>
      </c>
      <c r="F422" s="19">
        <f t="array" ref="F422">IF(ROW()&lt;25,"",INDEX('Solar Power Plant Data'!H:H,ROW()-1))</f>
        <v>489</v>
      </c>
      <c r="G422" s="19">
        <f>IF(ROW()&lt;25,"",AVERAGE(OFFSET('Solar Power Plant Data'!H444,-23,0,24,1)))
</f>
        <v>962103.625</v>
      </c>
      <c r="H422" s="21">
        <f>'Solar Power Plant Data'!H421/MAX('Solar Power Plant Data'!E421,0.0001)
</f>
        <v>4890000</v>
      </c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</row>
    <row r="423">
      <c r="A423" s="21">
        <f>HOUR('Solar Power Plant Data'!A422)</f>
        <v>2</v>
      </c>
      <c r="B423" s="21">
        <f>DAY('Solar Power Plant Data'!A422)</f>
        <v>23</v>
      </c>
      <c r="C423" s="21">
        <f>MONTH('Solar Power Plant Data'!A422)</f>
        <v>5</v>
      </c>
      <c r="D423" s="21" t="str">
        <f>TEXT('Solar Power Plant Data'!A422,"ddd")</f>
        <v>Tue</v>
      </c>
      <c r="E423" s="21">
        <f t="shared" si="1"/>
        <v>0</v>
      </c>
      <c r="F423" s="19">
        <f t="array" ref="F423">IF(ROW()&lt;25,"",INDEX('Solar Power Plant Data'!H:H,ROW()-1))</f>
        <v>5584999</v>
      </c>
      <c r="G423" s="19">
        <f>IF(ROW()&lt;25,"",AVERAGE(OFFSET('Solar Power Plant Data'!H445,-23,0,24,1)))
</f>
        <v>962083.25</v>
      </c>
      <c r="H423" s="21">
        <f>'Solar Power Plant Data'!H422/MAX('Solar Power Plant Data'!E422,0.0001)
</f>
        <v>55849990000</v>
      </c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</row>
    <row r="424">
      <c r="A424" s="21">
        <f>HOUR('Solar Power Plant Data'!A423)</f>
        <v>2</v>
      </c>
      <c r="B424" s="21">
        <f>DAY('Solar Power Plant Data'!A423)</f>
        <v>24</v>
      </c>
      <c r="C424" s="21">
        <f>MONTH('Solar Power Plant Data'!A423)</f>
        <v>5</v>
      </c>
      <c r="D424" s="21" t="str">
        <f>TEXT('Solar Power Plant Data'!A423,"ddd")</f>
        <v>Wed</v>
      </c>
      <c r="E424" s="21">
        <f t="shared" si="1"/>
        <v>0</v>
      </c>
      <c r="F424" s="19">
        <f t="array" ref="F424">IF(ROW()&lt;25,"",INDEX('Solar Power Plant Data'!H:H,ROW()-1))</f>
        <v>6256666</v>
      </c>
      <c r="G424" s="19">
        <f>IF(ROW()&lt;25,"",AVERAGE(OFFSET('Solar Power Plant Data'!H446,-23,0,24,1)))
</f>
        <v>729374.9583</v>
      </c>
      <c r="H424" s="21">
        <f>'Solar Power Plant Data'!H423/MAX('Solar Power Plant Data'!E423,0.0001)
</f>
        <v>62566660000</v>
      </c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</row>
    <row r="425">
      <c r="A425" s="21">
        <f>HOUR('Solar Power Plant Data'!A424)</f>
        <v>2</v>
      </c>
      <c r="B425" s="21">
        <f>DAY('Solar Power Plant Data'!A424)</f>
        <v>25</v>
      </c>
      <c r="C425" s="21">
        <f>MONTH('Solar Power Plant Data'!A424)</f>
        <v>5</v>
      </c>
      <c r="D425" s="21" t="str">
        <f>TEXT('Solar Power Plant Data'!A424,"ddd")</f>
        <v>Thu</v>
      </c>
      <c r="E425" s="21">
        <f t="shared" si="1"/>
        <v>0</v>
      </c>
      <c r="F425" s="19">
        <f t="array" ref="F425">IF(ROW()&lt;25,"",INDEX('Solar Power Plant Data'!H:H,ROW()-1))</f>
        <v>5738333</v>
      </c>
      <c r="G425" s="19">
        <f>IF(ROW()&lt;25,"",AVERAGE(OFFSET('Solar Power Plant Data'!H447,-23,0,24,1)))
</f>
        <v>468685.7083</v>
      </c>
      <c r="H425" s="21">
        <f>'Solar Power Plant Data'!H424/MAX('Solar Power Plant Data'!E424,0.0001)
</f>
        <v>57383330000</v>
      </c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</row>
    <row r="426">
      <c r="A426" s="21">
        <f>HOUR('Solar Power Plant Data'!A425)</f>
        <v>2</v>
      </c>
      <c r="B426" s="21">
        <f>DAY('Solar Power Plant Data'!A425)</f>
        <v>26</v>
      </c>
      <c r="C426" s="21">
        <f>MONTH('Solar Power Plant Data'!A425)</f>
        <v>5</v>
      </c>
      <c r="D426" s="21" t="str">
        <f>TEXT('Solar Power Plant Data'!A425,"ddd")</f>
        <v>Fri</v>
      </c>
      <c r="E426" s="21">
        <f t="shared" si="1"/>
        <v>0</v>
      </c>
      <c r="F426" s="19">
        <f t="array" ref="F426">IF(ROW()&lt;25,"",INDEX('Solar Power Plant Data'!H:H,ROW()-1))</f>
        <v>4783333</v>
      </c>
      <c r="G426" s="19">
        <f>IF(ROW()&lt;25,"",AVERAGE(OFFSET('Solar Power Plant Data'!H448,-23,0,24,1)))
</f>
        <v>289657.9167</v>
      </c>
      <c r="H426" s="21">
        <f>'Solar Power Plant Data'!H425/MAX('Solar Power Plant Data'!E425,0.0001)
</f>
        <v>47833330000</v>
      </c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</row>
    <row r="427">
      <c r="A427" s="21">
        <f>HOUR('Solar Power Plant Data'!A426)</f>
        <v>2</v>
      </c>
      <c r="B427" s="21">
        <f>DAY('Solar Power Plant Data'!A426)</f>
        <v>27</v>
      </c>
      <c r="C427" s="21">
        <f>MONTH('Solar Power Plant Data'!A426)</f>
        <v>5</v>
      </c>
      <c r="D427" s="21" t="str">
        <f>TEXT('Solar Power Plant Data'!A426,"ddd")</f>
        <v>Sat</v>
      </c>
      <c r="E427" s="21">
        <f t="shared" si="1"/>
        <v>1</v>
      </c>
      <c r="F427" s="19">
        <f t="array" ref="F427">IF(ROW()&lt;25,"",INDEX('Solar Power Plant Data'!H:H,ROW()-1))</f>
        <v>726667</v>
      </c>
      <c r="G427" s="19">
        <f>IF(ROW()&lt;25,"",AVERAGE(OFFSET('Solar Power Plant Data'!H449,-23,0,24,1)))
</f>
        <v>90354.79167</v>
      </c>
      <c r="H427" s="21">
        <f>'Solar Power Plant Data'!H426/MAX('Solar Power Plant Data'!E426,0.0001)
</f>
        <v>7266670000</v>
      </c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</row>
    <row r="428">
      <c r="A428" s="21">
        <f>HOUR('Solar Power Plant Data'!A427)</f>
        <v>2</v>
      </c>
      <c r="B428" s="21">
        <f>DAY('Solar Power Plant Data'!A427)</f>
        <v>28</v>
      </c>
      <c r="C428" s="21">
        <f>MONTH('Solar Power Plant Data'!A427)</f>
        <v>5</v>
      </c>
      <c r="D428" s="21" t="str">
        <f>TEXT('Solar Power Plant Data'!A427,"ddd")</f>
        <v>Sun</v>
      </c>
      <c r="E428" s="21">
        <f t="shared" si="1"/>
        <v>1</v>
      </c>
      <c r="F428" s="19">
        <f t="array" ref="F428">IF(ROW()&lt;25,"",INDEX('Solar Power Plant Data'!H:H,ROW()-1))</f>
        <v>0</v>
      </c>
      <c r="G428" s="19">
        <f>IF(ROW()&lt;25,"",AVERAGE(OFFSET('Solar Power Plant Data'!H450,-23,0,24,1)))
</f>
        <v>61049.20833</v>
      </c>
      <c r="H428" s="21">
        <f>'Solar Power Plant Data'!H427/MAX('Solar Power Plant Data'!E427,0.0001)
</f>
        <v>0</v>
      </c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</row>
    <row r="429">
      <c r="A429" s="21">
        <f>HOUR('Solar Power Plant Data'!A428)</f>
        <v>2</v>
      </c>
      <c r="B429" s="21">
        <f>DAY('Solar Power Plant Data'!A428)</f>
        <v>29</v>
      </c>
      <c r="C429" s="21">
        <f>MONTH('Solar Power Plant Data'!A428)</f>
        <v>5</v>
      </c>
      <c r="D429" s="21" t="str">
        <f>TEXT('Solar Power Plant Data'!A428,"ddd")</f>
        <v>Mon</v>
      </c>
      <c r="E429" s="21">
        <f t="shared" si="1"/>
        <v>0</v>
      </c>
      <c r="F429" s="19">
        <f t="array" ref="F429">IF(ROW()&lt;25,"",INDEX('Solar Power Plant Data'!H:H,ROW()-1))</f>
        <v>0</v>
      </c>
      <c r="G429" s="19">
        <f>IF(ROW()&lt;25,"",AVERAGE(OFFSET('Solar Power Plant Data'!H451,-23,0,24,1)))
</f>
        <v>61049.20833</v>
      </c>
      <c r="H429" s="21">
        <f>'Solar Power Plant Data'!H428/MAX('Solar Power Plant Data'!E428,0.0001)
</f>
        <v>0</v>
      </c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</row>
    <row r="430">
      <c r="A430" s="21">
        <f>HOUR('Solar Power Plant Data'!A429)</f>
        <v>2</v>
      </c>
      <c r="B430" s="21">
        <f>DAY('Solar Power Plant Data'!A429)</f>
        <v>30</v>
      </c>
      <c r="C430" s="21">
        <f>MONTH('Solar Power Plant Data'!A429)</f>
        <v>5</v>
      </c>
      <c r="D430" s="21" t="str">
        <f>TEXT('Solar Power Plant Data'!A429,"ddd")</f>
        <v>Tue</v>
      </c>
      <c r="E430" s="21">
        <f t="shared" si="1"/>
        <v>0</v>
      </c>
      <c r="F430" s="19">
        <f t="array" ref="F430">IF(ROW()&lt;25,"",INDEX('Solar Power Plant Data'!H:H,ROW()-1))</f>
        <v>0</v>
      </c>
      <c r="G430" s="19">
        <f>IF(ROW()&lt;25,"",AVERAGE(OFFSET('Solar Power Plant Data'!H452,-23,0,24,1)))
</f>
        <v>61049.20833</v>
      </c>
      <c r="H430" s="21">
        <f>'Solar Power Plant Data'!H429/MAX('Solar Power Plant Data'!E429,0.0001)
</f>
        <v>0</v>
      </c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</row>
    <row r="431">
      <c r="A431" s="21">
        <f>HOUR('Solar Power Plant Data'!A430)</f>
        <v>2</v>
      </c>
      <c r="B431" s="21">
        <f>DAY('Solar Power Plant Data'!A430)</f>
        <v>31</v>
      </c>
      <c r="C431" s="21">
        <f>MONTH('Solar Power Plant Data'!A430)</f>
        <v>5</v>
      </c>
      <c r="D431" s="21" t="str">
        <f>TEXT('Solar Power Plant Data'!A430,"ddd")</f>
        <v>Wed</v>
      </c>
      <c r="E431" s="21">
        <f t="shared" si="1"/>
        <v>0</v>
      </c>
      <c r="F431" s="19">
        <f t="array" ref="F431">IF(ROW()&lt;25,"",INDEX('Solar Power Plant Data'!H:H,ROW()-1))</f>
        <v>0</v>
      </c>
      <c r="G431" s="19">
        <f>IF(ROW()&lt;25,"",AVERAGE(OFFSET('Solar Power Plant Data'!H453,-23,0,24,1)))
</f>
        <v>61049.20833</v>
      </c>
      <c r="H431" s="21">
        <f>'Solar Power Plant Data'!H430/MAX('Solar Power Plant Data'!E430,0.0001)
</f>
        <v>0</v>
      </c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</row>
    <row r="432">
      <c r="A432" s="21">
        <f>HOUR('Solar Power Plant Data'!A431)</f>
        <v>2</v>
      </c>
      <c r="B432" s="21">
        <f>DAY('Solar Power Plant Data'!A431)</f>
        <v>1</v>
      </c>
      <c r="C432" s="21">
        <f>MONTH('Solar Power Plant Data'!A431)</f>
        <v>6</v>
      </c>
      <c r="D432" s="21" t="str">
        <f>TEXT('Solar Power Plant Data'!A431,"ddd")</f>
        <v>Thu</v>
      </c>
      <c r="E432" s="21">
        <f t="shared" si="1"/>
        <v>0</v>
      </c>
      <c r="F432" s="19">
        <f t="array" ref="F432">IF(ROW()&lt;25,"",INDEX('Solar Power Plant Data'!H:H,ROW()-1))</f>
        <v>0</v>
      </c>
      <c r="G432" s="19">
        <f>IF(ROW()&lt;25,"",AVERAGE(OFFSET('Solar Power Plant Data'!H454,-23,0,24,1)))
</f>
        <v>61049.20833</v>
      </c>
      <c r="H432" s="21">
        <f>'Solar Power Plant Data'!H431/MAX('Solar Power Plant Data'!E431,0.0001)
</f>
        <v>0</v>
      </c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</row>
    <row r="433">
      <c r="A433" s="21">
        <f>HOUR('Solar Power Plant Data'!A432)</f>
        <v>2</v>
      </c>
      <c r="B433" s="21">
        <f>DAY('Solar Power Plant Data'!A432)</f>
        <v>2</v>
      </c>
      <c r="C433" s="21">
        <f>MONTH('Solar Power Plant Data'!A432)</f>
        <v>6</v>
      </c>
      <c r="D433" s="21" t="str">
        <f>TEXT('Solar Power Plant Data'!A432,"ddd")</f>
        <v>Fri</v>
      </c>
      <c r="E433" s="21">
        <f t="shared" si="1"/>
        <v>0</v>
      </c>
      <c r="F433" s="19">
        <f t="array" ref="F433">IF(ROW()&lt;25,"",INDEX('Solar Power Plant Data'!H:H,ROW()-1))</f>
        <v>0</v>
      </c>
      <c r="G433" s="19">
        <f>IF(ROW()&lt;25,"",AVERAGE(OFFSET('Solar Power Plant Data'!H455,-23,0,24,1)))
</f>
        <v>61049.20833</v>
      </c>
      <c r="H433" s="21">
        <f>'Solar Power Plant Data'!H432/MAX('Solar Power Plant Data'!E432,0.0001)
</f>
        <v>0</v>
      </c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</row>
    <row r="434">
      <c r="A434" s="21">
        <f>HOUR('Solar Power Plant Data'!A433)</f>
        <v>2</v>
      </c>
      <c r="B434" s="21">
        <f>DAY('Solar Power Plant Data'!A433)</f>
        <v>3</v>
      </c>
      <c r="C434" s="21">
        <f>MONTH('Solar Power Plant Data'!A433)</f>
        <v>6</v>
      </c>
      <c r="D434" s="21" t="str">
        <f>TEXT('Solar Power Plant Data'!A433,"ddd")</f>
        <v>Sat</v>
      </c>
      <c r="E434" s="21">
        <f t="shared" si="1"/>
        <v>1</v>
      </c>
      <c r="F434" s="19">
        <f t="array" ref="F434">IF(ROW()&lt;25,"",INDEX('Solar Power Plant Data'!H:H,ROW()-1))</f>
        <v>0</v>
      </c>
      <c r="G434" s="19">
        <f>IF(ROW()&lt;25,"",AVERAGE(OFFSET('Solar Power Plant Data'!H456,-23,0,24,1)))
</f>
        <v>61049.20833</v>
      </c>
      <c r="H434" s="21">
        <f>'Solar Power Plant Data'!H433/MAX('Solar Power Plant Data'!E433,0.0001)
</f>
        <v>0</v>
      </c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</row>
    <row r="435">
      <c r="A435" s="21">
        <f>HOUR('Solar Power Plant Data'!A434)</f>
        <v>2</v>
      </c>
      <c r="B435" s="21">
        <f>DAY('Solar Power Plant Data'!A434)</f>
        <v>4</v>
      </c>
      <c r="C435" s="21">
        <f>MONTH('Solar Power Plant Data'!A434)</f>
        <v>6</v>
      </c>
      <c r="D435" s="21" t="str">
        <f>TEXT('Solar Power Plant Data'!A434,"ddd")</f>
        <v>Sun</v>
      </c>
      <c r="E435" s="21">
        <f t="shared" si="1"/>
        <v>1</v>
      </c>
      <c r="F435" s="19">
        <f t="array" ref="F435">IF(ROW()&lt;25,"",INDEX('Solar Power Plant Data'!H:H,ROW()-1))</f>
        <v>0</v>
      </c>
      <c r="G435" s="19">
        <f>IF(ROW()&lt;25,"",AVERAGE(OFFSET('Solar Power Plant Data'!H457,-23,0,24,1)))
</f>
        <v>61049.20833</v>
      </c>
      <c r="H435" s="21">
        <f>'Solar Power Plant Data'!H434/MAX('Solar Power Plant Data'!E434,0.0001)
</f>
        <v>0</v>
      </c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</row>
    <row r="436">
      <c r="A436" s="21">
        <f>HOUR('Solar Power Plant Data'!A435)</f>
        <v>2</v>
      </c>
      <c r="B436" s="21">
        <f>DAY('Solar Power Plant Data'!A435)</f>
        <v>5</v>
      </c>
      <c r="C436" s="21">
        <f>MONTH('Solar Power Plant Data'!A435)</f>
        <v>6</v>
      </c>
      <c r="D436" s="21" t="str">
        <f>TEXT('Solar Power Plant Data'!A435,"ddd")</f>
        <v>Mon</v>
      </c>
      <c r="E436" s="21">
        <f t="shared" si="1"/>
        <v>0</v>
      </c>
      <c r="F436" s="19">
        <f t="array" ref="F436">IF(ROW()&lt;25,"",INDEX('Solar Power Plant Data'!H:H,ROW()-1))</f>
        <v>0</v>
      </c>
      <c r="G436" s="19">
        <f>IF(ROW()&lt;25,"",AVERAGE(OFFSET('Solar Power Plant Data'!H458,-23,0,24,1)))
</f>
        <v>61049.20833</v>
      </c>
      <c r="H436" s="21">
        <f>'Solar Power Plant Data'!H435/MAX('Solar Power Plant Data'!E435,0.0001)
</f>
        <v>0</v>
      </c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</row>
    <row r="437">
      <c r="A437" s="21">
        <f>HOUR('Solar Power Plant Data'!A436)</f>
        <v>2</v>
      </c>
      <c r="B437" s="21">
        <f>DAY('Solar Power Plant Data'!A436)</f>
        <v>6</v>
      </c>
      <c r="C437" s="21">
        <f>MONTH('Solar Power Plant Data'!A436)</f>
        <v>6</v>
      </c>
      <c r="D437" s="21" t="str">
        <f>TEXT('Solar Power Plant Data'!A436,"ddd")</f>
        <v>Tue</v>
      </c>
      <c r="E437" s="21">
        <f t="shared" si="1"/>
        <v>0</v>
      </c>
      <c r="F437" s="19">
        <f t="array" ref="F437">IF(ROW()&lt;25,"",INDEX('Solar Power Plant Data'!H:H,ROW()-1))</f>
        <v>0</v>
      </c>
      <c r="G437" s="19">
        <f>IF(ROW()&lt;25,"",AVERAGE(OFFSET('Solar Power Plant Data'!H459,-23,0,24,1)))
</f>
        <v>61049.20833</v>
      </c>
      <c r="H437" s="21">
        <f>'Solar Power Plant Data'!H436/MAX('Solar Power Plant Data'!E436,0.0001)
</f>
        <v>0</v>
      </c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</row>
    <row r="438">
      <c r="A438" s="21">
        <f>HOUR('Solar Power Plant Data'!A437)</f>
        <v>2</v>
      </c>
      <c r="B438" s="21">
        <f>DAY('Solar Power Plant Data'!A437)</f>
        <v>7</v>
      </c>
      <c r="C438" s="21">
        <f>MONTH('Solar Power Plant Data'!A437)</f>
        <v>6</v>
      </c>
      <c r="D438" s="21" t="str">
        <f>TEXT('Solar Power Plant Data'!A437,"ddd")</f>
        <v>Wed</v>
      </c>
      <c r="E438" s="21">
        <f t="shared" si="1"/>
        <v>0</v>
      </c>
      <c r="F438" s="19">
        <f t="array" ref="F438">IF(ROW()&lt;25,"",INDEX('Solar Power Plant Data'!H:H,ROW()-1))</f>
        <v>0</v>
      </c>
      <c r="G438" s="19">
        <f>IF(ROW()&lt;25,"",AVERAGE(OFFSET('Solar Power Plant Data'!H460,-23,0,24,1)))
</f>
        <v>61049.20833</v>
      </c>
      <c r="H438" s="21">
        <f>'Solar Power Plant Data'!H437/MAX('Solar Power Plant Data'!E437,0.0001)
</f>
        <v>0</v>
      </c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</row>
    <row r="439">
      <c r="A439" s="21">
        <f>HOUR('Solar Power Plant Data'!A438)</f>
        <v>2</v>
      </c>
      <c r="B439" s="21">
        <f>DAY('Solar Power Plant Data'!A438)</f>
        <v>8</v>
      </c>
      <c r="C439" s="21">
        <f>MONTH('Solar Power Plant Data'!A438)</f>
        <v>6</v>
      </c>
      <c r="D439" s="21" t="str">
        <f>TEXT('Solar Power Plant Data'!A438,"ddd")</f>
        <v>Thu</v>
      </c>
      <c r="E439" s="21">
        <f t="shared" si="1"/>
        <v>0</v>
      </c>
      <c r="F439" s="19">
        <f t="array" ref="F439">IF(ROW()&lt;25,"",INDEX('Solar Power Plant Data'!H:H,ROW()-1))</f>
        <v>0</v>
      </c>
      <c r="G439" s="19">
        <f>IF(ROW()&lt;25,"",AVERAGE(OFFSET('Solar Power Plant Data'!H461,-23,0,24,1)))
</f>
        <v>61049.20833</v>
      </c>
      <c r="H439" s="21">
        <f>'Solar Power Plant Data'!H438/MAX('Solar Power Plant Data'!E438,0.0001)
</f>
        <v>0</v>
      </c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</row>
    <row r="440">
      <c r="A440" s="21">
        <f>HOUR('Solar Power Plant Data'!A439)</f>
        <v>2</v>
      </c>
      <c r="B440" s="21">
        <f>DAY('Solar Power Plant Data'!A439)</f>
        <v>9</v>
      </c>
      <c r="C440" s="21">
        <f>MONTH('Solar Power Plant Data'!A439)</f>
        <v>6</v>
      </c>
      <c r="D440" s="21" t="str">
        <f>TEXT('Solar Power Plant Data'!A439,"ddd")</f>
        <v>Fri</v>
      </c>
      <c r="E440" s="21">
        <f t="shared" si="1"/>
        <v>0</v>
      </c>
      <c r="F440" s="19">
        <f t="array" ref="F440">IF(ROW()&lt;25,"",INDEX('Solar Power Plant Data'!H:H,ROW()-1))</f>
        <v>0</v>
      </c>
      <c r="G440" s="19">
        <f>IF(ROW()&lt;25,"",AVERAGE(OFFSET('Solar Power Plant Data'!H462,-23,0,24,1)))
</f>
        <v>61049.20833</v>
      </c>
      <c r="H440" s="21">
        <f>'Solar Power Plant Data'!H439/MAX('Solar Power Plant Data'!E439,0.0001)
</f>
        <v>0</v>
      </c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</row>
    <row r="441">
      <c r="A441" s="21">
        <f>HOUR('Solar Power Plant Data'!A440)</f>
        <v>2</v>
      </c>
      <c r="B441" s="21">
        <f>DAY('Solar Power Plant Data'!A440)</f>
        <v>10</v>
      </c>
      <c r="C441" s="21">
        <f>MONTH('Solar Power Plant Data'!A440)</f>
        <v>6</v>
      </c>
      <c r="D441" s="21" t="str">
        <f>TEXT('Solar Power Plant Data'!A440,"ddd")</f>
        <v>Sat</v>
      </c>
      <c r="E441" s="21">
        <f t="shared" si="1"/>
        <v>1</v>
      </c>
      <c r="F441" s="19">
        <f t="array" ref="F441">IF(ROW()&lt;25,"",INDEX('Solar Power Plant Data'!H:H,ROW()-1))</f>
        <v>0</v>
      </c>
      <c r="G441" s="19">
        <f>IF(ROW()&lt;25,"",AVERAGE(OFFSET('Solar Power Plant Data'!H463,-23,0,24,1)))
</f>
        <v>61049.20833</v>
      </c>
      <c r="H441" s="21">
        <f>'Solar Power Plant Data'!H440/MAX('Solar Power Plant Data'!E440,0.0001)
</f>
        <v>0</v>
      </c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</row>
    <row r="442">
      <c r="A442" s="21">
        <f>HOUR('Solar Power Plant Data'!A441)</f>
        <v>2</v>
      </c>
      <c r="B442" s="21">
        <f>DAY('Solar Power Plant Data'!A441)</f>
        <v>11</v>
      </c>
      <c r="C442" s="21">
        <f>MONTH('Solar Power Plant Data'!A441)</f>
        <v>6</v>
      </c>
      <c r="D442" s="21" t="str">
        <f>TEXT('Solar Power Plant Data'!A441,"ddd")</f>
        <v>Sun</v>
      </c>
      <c r="E442" s="21">
        <f t="shared" si="1"/>
        <v>1</v>
      </c>
      <c r="F442" s="19">
        <f t="array" ref="F442">IF(ROW()&lt;25,"",INDEX('Solar Power Plant Data'!H:H,ROW()-1))</f>
        <v>0</v>
      </c>
      <c r="G442" s="19">
        <f>IF(ROW()&lt;25,"",AVERAGE(OFFSET('Solar Power Plant Data'!H464,-23,0,24,1)))
</f>
        <v>61049.20833</v>
      </c>
      <c r="H442" s="21">
        <f>'Solar Power Plant Data'!H441/MAX('Solar Power Plant Data'!E441,0.0001)
</f>
        <v>0</v>
      </c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</row>
    <row r="443">
      <c r="A443" s="21">
        <f>HOUR('Solar Power Plant Data'!A442)</f>
        <v>2</v>
      </c>
      <c r="B443" s="21">
        <f>DAY('Solar Power Plant Data'!A442)</f>
        <v>12</v>
      </c>
      <c r="C443" s="21">
        <f>MONTH('Solar Power Plant Data'!A442)</f>
        <v>6</v>
      </c>
      <c r="D443" s="21" t="str">
        <f>TEXT('Solar Power Plant Data'!A442,"ddd")</f>
        <v>Mon</v>
      </c>
      <c r="E443" s="21">
        <f t="shared" si="1"/>
        <v>0</v>
      </c>
      <c r="F443" s="19">
        <f t="array" ref="F443">IF(ROW()&lt;25,"",INDEX('Solar Power Plant Data'!H:H,ROW()-1))</f>
        <v>0</v>
      </c>
      <c r="G443" s="19">
        <f>IF(ROW()&lt;25,"",AVERAGE(OFFSET('Solar Power Plant Data'!H465,-23,0,24,1)))
</f>
        <v>61049.20833</v>
      </c>
      <c r="H443" s="21">
        <f>'Solar Power Plant Data'!H442/MAX('Solar Power Plant Data'!E442,0.0001)
</f>
        <v>0</v>
      </c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</row>
    <row r="444">
      <c r="A444" s="21">
        <f>HOUR('Solar Power Plant Data'!A443)</f>
        <v>2</v>
      </c>
      <c r="B444" s="21">
        <f>DAY('Solar Power Plant Data'!A443)</f>
        <v>13</v>
      </c>
      <c r="C444" s="21">
        <f>MONTH('Solar Power Plant Data'!A443)</f>
        <v>6</v>
      </c>
      <c r="D444" s="21" t="str">
        <f>TEXT('Solar Power Plant Data'!A443,"ddd")</f>
        <v>Tue</v>
      </c>
      <c r="E444" s="21">
        <f t="shared" si="1"/>
        <v>0</v>
      </c>
      <c r="F444" s="19">
        <f t="array" ref="F444">IF(ROW()&lt;25,"",INDEX('Solar Power Plant Data'!H:H,ROW()-1))</f>
        <v>0</v>
      </c>
      <c r="G444" s="19">
        <f>IF(ROW()&lt;25,"",AVERAGE(OFFSET('Solar Power Plant Data'!H466,-23,0,24,1)))
</f>
        <v>61049.20833</v>
      </c>
      <c r="H444" s="21">
        <f>'Solar Power Plant Data'!H443/MAX('Solar Power Plant Data'!E443,0.0001)
</f>
        <v>0</v>
      </c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</row>
    <row r="445">
      <c r="A445" s="21">
        <f>HOUR('Solar Power Plant Data'!A444)</f>
        <v>2</v>
      </c>
      <c r="B445" s="21">
        <f>DAY('Solar Power Plant Data'!A444)</f>
        <v>14</v>
      </c>
      <c r="C445" s="21">
        <f>MONTH('Solar Power Plant Data'!A444)</f>
        <v>6</v>
      </c>
      <c r="D445" s="21" t="str">
        <f>TEXT('Solar Power Plant Data'!A444,"ddd")</f>
        <v>Wed</v>
      </c>
      <c r="E445" s="21">
        <f t="shared" si="1"/>
        <v>0</v>
      </c>
      <c r="F445" s="19">
        <f t="array" ref="F445">IF(ROW()&lt;25,"",INDEX('Solar Power Plant Data'!H:H,ROW()-1))</f>
        <v>0</v>
      </c>
      <c r="G445" s="19">
        <f>IF(ROW()&lt;25,"",AVERAGE(OFFSET('Solar Power Plant Data'!H467,-23,0,24,1)))
</f>
        <v>61049.20833</v>
      </c>
      <c r="H445" s="21">
        <f>'Solar Power Plant Data'!H444/MAX('Solar Power Plant Data'!E444,0.0001)
</f>
        <v>0</v>
      </c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</row>
    <row r="446">
      <c r="A446" s="21">
        <f>HOUR('Solar Power Plant Data'!A445)</f>
        <v>2</v>
      </c>
      <c r="B446" s="21">
        <f>DAY('Solar Power Plant Data'!A445)</f>
        <v>15</v>
      </c>
      <c r="C446" s="21">
        <f>MONTH('Solar Power Plant Data'!A445)</f>
        <v>6</v>
      </c>
      <c r="D446" s="21" t="str">
        <f>TEXT('Solar Power Plant Data'!A445,"ddd")</f>
        <v>Thu</v>
      </c>
      <c r="E446" s="21">
        <f t="shared" si="1"/>
        <v>0</v>
      </c>
      <c r="F446" s="19">
        <f t="array" ref="F446">IF(ROW()&lt;25,"",INDEX('Solar Power Plant Data'!H:H,ROW()-1))</f>
        <v>0</v>
      </c>
      <c r="G446" s="19">
        <f>IF(ROW()&lt;25,"",AVERAGE(OFFSET('Solar Power Plant Data'!H468,-23,0,24,1)))
</f>
        <v>61049.20833</v>
      </c>
      <c r="H446" s="21">
        <f>'Solar Power Plant Data'!H445/MAX('Solar Power Plant Data'!E445,0.0001)
</f>
        <v>0</v>
      </c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</row>
    <row r="447">
      <c r="A447" s="21">
        <f>HOUR('Solar Power Plant Data'!A446)</f>
        <v>2</v>
      </c>
      <c r="B447" s="21">
        <f>DAY('Solar Power Plant Data'!A446)</f>
        <v>16</v>
      </c>
      <c r="C447" s="21">
        <f>MONTH('Solar Power Plant Data'!A446)</f>
        <v>6</v>
      </c>
      <c r="D447" s="21" t="str">
        <f>TEXT('Solar Power Plant Data'!A446,"ddd")</f>
        <v>Fri</v>
      </c>
      <c r="E447" s="21">
        <f t="shared" si="1"/>
        <v>0</v>
      </c>
      <c r="F447" s="19">
        <f t="array" ref="F447">IF(ROW()&lt;25,"",INDEX('Solar Power Plant Data'!H:H,ROW()-1))</f>
        <v>0</v>
      </c>
      <c r="G447" s="19">
        <f>IF(ROW()&lt;25,"",AVERAGE(OFFSET('Solar Power Plant Data'!H469,-23,0,24,1)))
</f>
        <v>132854.75</v>
      </c>
      <c r="H447" s="21">
        <f>'Solar Power Plant Data'!H446/MAX('Solar Power Plant Data'!E446,0.0001)
</f>
        <v>0</v>
      </c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</row>
    <row r="448">
      <c r="A448" s="21">
        <f>HOUR('Solar Power Plant Data'!A447)</f>
        <v>2</v>
      </c>
      <c r="B448" s="21">
        <f>DAY('Solar Power Plant Data'!A447)</f>
        <v>17</v>
      </c>
      <c r="C448" s="21">
        <f>MONTH('Solar Power Plant Data'!A447)</f>
        <v>6</v>
      </c>
      <c r="D448" s="21" t="str">
        <f>TEXT('Solar Power Plant Data'!A447,"ddd")</f>
        <v>Sat</v>
      </c>
      <c r="E448" s="21">
        <f t="shared" si="1"/>
        <v>1</v>
      </c>
      <c r="F448" s="19">
        <f t="array" ref="F448">IF(ROW()&lt;25,"",INDEX('Solar Power Plant Data'!H:H,ROW()-1))</f>
        <v>124</v>
      </c>
      <c r="G448" s="19">
        <f>IF(ROW()&lt;25,"",AVERAGE(OFFSET('Solar Power Plant Data'!H470,-23,0,24,1)))
</f>
        <v>363965.8333</v>
      </c>
      <c r="H448" s="21">
        <f>'Solar Power Plant Data'!H447/MAX('Solar Power Plant Data'!E447,0.0001)
</f>
        <v>1240000</v>
      </c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</row>
    <row r="449">
      <c r="A449" s="21">
        <f>HOUR('Solar Power Plant Data'!A448)</f>
        <v>2</v>
      </c>
      <c r="B449" s="21">
        <f>DAY('Solar Power Plant Data'!A448)</f>
        <v>18</v>
      </c>
      <c r="C449" s="21">
        <f>MONTH('Solar Power Plant Data'!A448)</f>
        <v>6</v>
      </c>
      <c r="D449" s="21" t="str">
        <f>TEXT('Solar Power Plant Data'!A448,"ddd")</f>
        <v>Sun</v>
      </c>
      <c r="E449" s="21">
        <f t="shared" si="1"/>
        <v>1</v>
      </c>
      <c r="F449" s="19">
        <f t="array" ref="F449">IF(ROW()&lt;25,"",INDEX('Solar Power Plant Data'!H:H,ROW()-1))</f>
        <v>1441666</v>
      </c>
      <c r="G449" s="19">
        <f>IF(ROW()&lt;25,"",AVERAGE(OFFSET('Solar Power Plant Data'!H471,-23,0,24,1)))
</f>
        <v>363984.5833</v>
      </c>
      <c r="H449" s="21">
        <f>'Solar Power Plant Data'!H448/MAX('Solar Power Plant Data'!E448,0.0001)
</f>
        <v>14416660000</v>
      </c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</row>
    <row r="450">
      <c r="A450" s="21">
        <f>HOUR('Solar Power Plant Data'!A449)</f>
        <v>2</v>
      </c>
      <c r="B450" s="21">
        <f>DAY('Solar Power Plant Data'!A449)</f>
        <v>19</v>
      </c>
      <c r="C450" s="21">
        <f>MONTH('Solar Power Plant Data'!A449)</f>
        <v>6</v>
      </c>
      <c r="D450" s="21" t="str">
        <f>TEXT('Solar Power Plant Data'!A449,"ddd")</f>
        <v>Mon</v>
      </c>
      <c r="E450" s="21">
        <f t="shared" si="1"/>
        <v>0</v>
      </c>
      <c r="F450" s="19">
        <f t="array" ref="F450">IF(ROW()&lt;25,"",INDEX('Solar Power Plant Data'!H:H,ROW()-1))</f>
        <v>58</v>
      </c>
      <c r="G450" s="19">
        <f>IF(ROW()&lt;25,"",AVERAGE(OFFSET('Solar Power Plant Data'!H472,-23,0,24,1)))
</f>
        <v>362179.0833</v>
      </c>
      <c r="H450" s="21">
        <f>'Solar Power Plant Data'!H449/MAX('Solar Power Plant Data'!E449,0.0001)
</f>
        <v>580000</v>
      </c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</row>
    <row r="451">
      <c r="A451" s="21">
        <f>HOUR('Solar Power Plant Data'!A450)</f>
        <v>2</v>
      </c>
      <c r="B451" s="21">
        <f>DAY('Solar Power Plant Data'!A450)</f>
        <v>20</v>
      </c>
      <c r="C451" s="21">
        <f>MONTH('Solar Power Plant Data'!A450)</f>
        <v>6</v>
      </c>
      <c r="D451" s="21" t="str">
        <f>TEXT('Solar Power Plant Data'!A450,"ddd")</f>
        <v>Tue</v>
      </c>
      <c r="E451" s="21">
        <f t="shared" si="1"/>
        <v>0</v>
      </c>
      <c r="F451" s="19">
        <f t="array" ref="F451">IF(ROW()&lt;25,"",INDEX('Solar Power Plant Data'!H:H,ROW()-1))</f>
        <v>23333</v>
      </c>
      <c r="G451" s="19">
        <f>IF(ROW()&lt;25,"",AVERAGE(OFFSET('Solar Power Plant Data'!H473,-23,0,24,1)))
</f>
        <v>378704.4583</v>
      </c>
      <c r="H451" s="21">
        <f>'Solar Power Plant Data'!H450/MAX('Solar Power Plant Data'!E450,0.0001)
</f>
        <v>233330000</v>
      </c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</row>
    <row r="452">
      <c r="A452" s="21">
        <f>HOUR('Solar Power Plant Data'!A451)</f>
        <v>2</v>
      </c>
      <c r="B452" s="21">
        <f>DAY('Solar Power Plant Data'!A451)</f>
        <v>21</v>
      </c>
      <c r="C452" s="21">
        <f>MONTH('Solar Power Plant Data'!A451)</f>
        <v>6</v>
      </c>
      <c r="D452" s="21" t="str">
        <f>TEXT('Solar Power Plant Data'!A451,"ddd")</f>
        <v>Wed</v>
      </c>
      <c r="E452" s="21">
        <f t="shared" si="1"/>
        <v>0</v>
      </c>
      <c r="F452" s="19">
        <f t="array" ref="F452">IF(ROW()&lt;25,"",INDEX('Solar Power Plant Data'!H:H,ROW()-1))</f>
        <v>0</v>
      </c>
      <c r="G452" s="19">
        <f>IF(ROW()&lt;25,"",AVERAGE(OFFSET('Solar Power Plant Data'!H474,-23,0,24,1)))
</f>
        <v>377732.25</v>
      </c>
      <c r="H452" s="21">
        <f>'Solar Power Plant Data'!H451/MAX('Solar Power Plant Data'!E451,0.0001)
</f>
        <v>0</v>
      </c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</row>
    <row r="453">
      <c r="A453" s="21">
        <f>HOUR('Solar Power Plant Data'!A452)</f>
        <v>2</v>
      </c>
      <c r="B453" s="21">
        <f>DAY('Solar Power Plant Data'!A452)</f>
        <v>22</v>
      </c>
      <c r="C453" s="21">
        <f>MONTH('Solar Power Plant Data'!A452)</f>
        <v>6</v>
      </c>
      <c r="D453" s="21" t="str">
        <f>TEXT('Solar Power Plant Data'!A452,"ddd")</f>
        <v>Thu</v>
      </c>
      <c r="E453" s="21">
        <f t="shared" si="1"/>
        <v>0</v>
      </c>
      <c r="F453" s="19">
        <f t="array" ref="F453">IF(ROW()&lt;25,"",INDEX('Solar Power Plant Data'!H:H,ROW()-1))</f>
        <v>0</v>
      </c>
      <c r="G453" s="19">
        <f>IF(ROW()&lt;25,"",AVERAGE(OFFSET('Solar Power Plant Data'!H475,-23,0,24,1)))
</f>
        <v>377732.25</v>
      </c>
      <c r="H453" s="21">
        <f>'Solar Power Plant Data'!H452/MAX('Solar Power Plant Data'!E452,0.0001)
</f>
        <v>0</v>
      </c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</row>
    <row r="454">
      <c r="A454" s="21">
        <f>HOUR('Solar Power Plant Data'!A453)</f>
        <v>2</v>
      </c>
      <c r="B454" s="21">
        <f>DAY('Solar Power Plant Data'!A453)</f>
        <v>23</v>
      </c>
      <c r="C454" s="21">
        <f>MONTH('Solar Power Plant Data'!A453)</f>
        <v>6</v>
      </c>
      <c r="D454" s="21" t="str">
        <f>TEXT('Solar Power Plant Data'!A453,"ddd")</f>
        <v>Fri</v>
      </c>
      <c r="E454" s="21">
        <f t="shared" si="1"/>
        <v>0</v>
      </c>
      <c r="F454" s="19">
        <f t="array" ref="F454">IF(ROW()&lt;25,"",INDEX('Solar Power Plant Data'!H:H,ROW()-1))</f>
        <v>0</v>
      </c>
      <c r="G454" s="19">
        <f>IF(ROW()&lt;25,"",AVERAGE(OFFSET('Solar Power Plant Data'!H476,-23,0,24,1)))
</f>
        <v>377732.25</v>
      </c>
      <c r="H454" s="21">
        <f>'Solar Power Plant Data'!H453/MAX('Solar Power Plant Data'!E453,0.0001)
</f>
        <v>0</v>
      </c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</row>
    <row r="455">
      <c r="A455" s="21">
        <f>HOUR('Solar Power Plant Data'!A454)</f>
        <v>2</v>
      </c>
      <c r="B455" s="21">
        <f>DAY('Solar Power Plant Data'!A454)</f>
        <v>24</v>
      </c>
      <c r="C455" s="21">
        <f>MONTH('Solar Power Plant Data'!A454)</f>
        <v>6</v>
      </c>
      <c r="D455" s="21" t="str">
        <f>TEXT('Solar Power Plant Data'!A454,"ddd")</f>
        <v>Sat</v>
      </c>
      <c r="E455" s="21">
        <f t="shared" si="1"/>
        <v>1</v>
      </c>
      <c r="F455" s="19">
        <f t="array" ref="F455">IF(ROW()&lt;25,"",INDEX('Solar Power Plant Data'!H:H,ROW()-1))</f>
        <v>0</v>
      </c>
      <c r="G455" s="19">
        <f>IF(ROW()&lt;25,"",AVERAGE(OFFSET('Solar Power Plant Data'!H477,-23,0,24,1)))
</f>
        <v>377732.25</v>
      </c>
      <c r="H455" s="21">
        <f>'Solar Power Plant Data'!H454/MAX('Solar Power Plant Data'!E454,0.0001)
</f>
        <v>0</v>
      </c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</row>
    <row r="456">
      <c r="A456" s="21">
        <f>HOUR('Solar Power Plant Data'!A455)</f>
        <v>2</v>
      </c>
      <c r="B456" s="21">
        <f>DAY('Solar Power Plant Data'!A455)</f>
        <v>25</v>
      </c>
      <c r="C456" s="21">
        <f>MONTH('Solar Power Plant Data'!A455)</f>
        <v>6</v>
      </c>
      <c r="D456" s="21" t="str">
        <f>TEXT('Solar Power Plant Data'!A455,"ddd")</f>
        <v>Sun</v>
      </c>
      <c r="E456" s="21">
        <f t="shared" si="1"/>
        <v>1</v>
      </c>
      <c r="F456" s="19">
        <f t="array" ref="F456">IF(ROW()&lt;25,"",INDEX('Solar Power Plant Data'!H:H,ROW()-1))</f>
        <v>0</v>
      </c>
      <c r="G456" s="19">
        <f>IF(ROW()&lt;25,"",AVERAGE(OFFSET('Solar Power Plant Data'!H478,-23,0,24,1)))
</f>
        <v>377732.25</v>
      </c>
      <c r="H456" s="21">
        <f>'Solar Power Plant Data'!H455/MAX('Solar Power Plant Data'!E455,0.0001)
</f>
        <v>0</v>
      </c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</row>
    <row r="457">
      <c r="A457" s="21">
        <f>HOUR('Solar Power Plant Data'!A456)</f>
        <v>2</v>
      </c>
      <c r="B457" s="21">
        <f>DAY('Solar Power Plant Data'!A456)</f>
        <v>26</v>
      </c>
      <c r="C457" s="21">
        <f>MONTH('Solar Power Plant Data'!A456)</f>
        <v>6</v>
      </c>
      <c r="D457" s="21" t="str">
        <f>TEXT('Solar Power Plant Data'!A456,"ddd")</f>
        <v>Mon</v>
      </c>
      <c r="E457" s="21">
        <f t="shared" si="1"/>
        <v>0</v>
      </c>
      <c r="F457" s="19">
        <f t="array" ref="F457">IF(ROW()&lt;25,"",INDEX('Solar Power Plant Data'!H:H,ROW()-1))</f>
        <v>0</v>
      </c>
      <c r="G457" s="19">
        <f>IF(ROW()&lt;25,"",AVERAGE(OFFSET('Solar Power Plant Data'!H479,-23,0,24,1)))
</f>
        <v>377732.25</v>
      </c>
      <c r="H457" s="21">
        <f>'Solar Power Plant Data'!H456/MAX('Solar Power Plant Data'!E456,0.0001)
</f>
        <v>0</v>
      </c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</row>
    <row r="458">
      <c r="A458" s="21">
        <f>HOUR('Solar Power Plant Data'!A457)</f>
        <v>2</v>
      </c>
      <c r="B458" s="21">
        <f>DAY('Solar Power Plant Data'!A457)</f>
        <v>27</v>
      </c>
      <c r="C458" s="21">
        <f>MONTH('Solar Power Plant Data'!A457)</f>
        <v>6</v>
      </c>
      <c r="D458" s="21" t="str">
        <f>TEXT('Solar Power Plant Data'!A457,"ddd")</f>
        <v>Tue</v>
      </c>
      <c r="E458" s="21">
        <f t="shared" si="1"/>
        <v>0</v>
      </c>
      <c r="F458" s="19">
        <f t="array" ref="F458">IF(ROW()&lt;25,"",INDEX('Solar Power Plant Data'!H:H,ROW()-1))</f>
        <v>0</v>
      </c>
      <c r="G458" s="19">
        <f>IF(ROW()&lt;25,"",AVERAGE(OFFSET('Solar Power Plant Data'!H480,-23,0,24,1)))
</f>
        <v>377732.25</v>
      </c>
      <c r="H458" s="21">
        <f>'Solar Power Plant Data'!H457/MAX('Solar Power Plant Data'!E457,0.0001)
</f>
        <v>0</v>
      </c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</row>
    <row r="459">
      <c r="A459" s="21">
        <f>HOUR('Solar Power Plant Data'!A458)</f>
        <v>2</v>
      </c>
      <c r="B459" s="21">
        <f>DAY('Solar Power Plant Data'!A458)</f>
        <v>28</v>
      </c>
      <c r="C459" s="21">
        <f>MONTH('Solar Power Plant Data'!A458)</f>
        <v>6</v>
      </c>
      <c r="D459" s="21" t="str">
        <f>TEXT('Solar Power Plant Data'!A458,"ddd")</f>
        <v>Wed</v>
      </c>
      <c r="E459" s="21">
        <f t="shared" si="1"/>
        <v>0</v>
      </c>
      <c r="F459" s="19">
        <f t="array" ref="F459">IF(ROW()&lt;25,"",INDEX('Solar Power Plant Data'!H:H,ROW()-1))</f>
        <v>0</v>
      </c>
      <c r="G459" s="19">
        <f>IF(ROW()&lt;25,"",AVERAGE(OFFSET('Solar Power Plant Data'!H481,-23,0,24,1)))
</f>
        <v>377732.25</v>
      </c>
      <c r="H459" s="21">
        <f>'Solar Power Plant Data'!H458/MAX('Solar Power Plant Data'!E458,0.0001)
</f>
        <v>0</v>
      </c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</row>
    <row r="460">
      <c r="A460" s="21">
        <f>HOUR('Solar Power Plant Data'!A459)</f>
        <v>2</v>
      </c>
      <c r="B460" s="21">
        <f>DAY('Solar Power Plant Data'!A459)</f>
        <v>29</v>
      </c>
      <c r="C460" s="21">
        <f>MONTH('Solar Power Plant Data'!A459)</f>
        <v>6</v>
      </c>
      <c r="D460" s="21" t="str">
        <f>TEXT('Solar Power Plant Data'!A459,"ddd")</f>
        <v>Thu</v>
      </c>
      <c r="E460" s="21">
        <f t="shared" si="1"/>
        <v>0</v>
      </c>
      <c r="F460" s="19">
        <f t="array" ref="F460">IF(ROW()&lt;25,"",INDEX('Solar Power Plant Data'!H:H,ROW()-1))</f>
        <v>0</v>
      </c>
      <c r="G460" s="19">
        <f>IF(ROW()&lt;25,"",AVERAGE(OFFSET('Solar Power Plant Data'!H482,-23,0,24,1)))
</f>
        <v>377732.25</v>
      </c>
      <c r="H460" s="21">
        <f>'Solar Power Plant Data'!H459/MAX('Solar Power Plant Data'!E459,0.0001)
</f>
        <v>0</v>
      </c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</row>
    <row r="461">
      <c r="A461" s="21">
        <f>HOUR('Solar Power Plant Data'!A460)</f>
        <v>2</v>
      </c>
      <c r="B461" s="21">
        <f>DAY('Solar Power Plant Data'!A460)</f>
        <v>30</v>
      </c>
      <c r="C461" s="21">
        <f>MONTH('Solar Power Plant Data'!A460)</f>
        <v>6</v>
      </c>
      <c r="D461" s="21" t="str">
        <f>TEXT('Solar Power Plant Data'!A460,"ddd")</f>
        <v>Fri</v>
      </c>
      <c r="E461" s="21">
        <f t="shared" si="1"/>
        <v>0</v>
      </c>
      <c r="F461" s="19">
        <f t="array" ref="F461">IF(ROW()&lt;25,"",INDEX('Solar Power Plant Data'!H:H,ROW()-1))</f>
        <v>0</v>
      </c>
      <c r="G461" s="19">
        <f>IF(ROW()&lt;25,"",AVERAGE(OFFSET('Solar Power Plant Data'!H483,-23,0,24,1)))
</f>
        <v>377732.25</v>
      </c>
      <c r="H461" s="21">
        <f>'Solar Power Plant Data'!H460/MAX('Solar Power Plant Data'!E460,0.0001)
</f>
        <v>0</v>
      </c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</row>
    <row r="462">
      <c r="A462" s="21">
        <f>HOUR('Solar Power Plant Data'!A461)</f>
        <v>2</v>
      </c>
      <c r="B462" s="21">
        <f>DAY('Solar Power Plant Data'!A461)</f>
        <v>1</v>
      </c>
      <c r="C462" s="21">
        <f>MONTH('Solar Power Plant Data'!A461)</f>
        <v>7</v>
      </c>
      <c r="D462" s="21" t="str">
        <f>TEXT('Solar Power Plant Data'!A461,"ddd")</f>
        <v>Sat</v>
      </c>
      <c r="E462" s="21">
        <f t="shared" si="1"/>
        <v>1</v>
      </c>
      <c r="F462" s="19">
        <f t="array" ref="F462">IF(ROW()&lt;25,"",INDEX('Solar Power Plant Data'!H:H,ROW()-1))</f>
        <v>0</v>
      </c>
      <c r="G462" s="19">
        <f>IF(ROW()&lt;25,"",AVERAGE(OFFSET('Solar Power Plant Data'!H484,-23,0,24,1)))
</f>
        <v>377732.25</v>
      </c>
      <c r="H462" s="21">
        <f>'Solar Power Plant Data'!H461/MAX('Solar Power Plant Data'!E461,0.0001)
</f>
        <v>0</v>
      </c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</row>
    <row r="463">
      <c r="A463" s="21">
        <f>HOUR('Solar Power Plant Data'!A462)</f>
        <v>2</v>
      </c>
      <c r="B463" s="21">
        <f>DAY('Solar Power Plant Data'!A462)</f>
        <v>2</v>
      </c>
      <c r="C463" s="21">
        <f>MONTH('Solar Power Plant Data'!A462)</f>
        <v>7</v>
      </c>
      <c r="D463" s="21" t="str">
        <f>TEXT('Solar Power Plant Data'!A462,"ddd")</f>
        <v>Sun</v>
      </c>
      <c r="E463" s="21">
        <f t="shared" si="1"/>
        <v>1</v>
      </c>
      <c r="F463" s="19">
        <f t="array" ref="F463">IF(ROW()&lt;25,"",INDEX('Solar Power Plant Data'!H:H,ROW()-1))</f>
        <v>0</v>
      </c>
      <c r="G463" s="19">
        <f>IF(ROW()&lt;25,"",AVERAGE(OFFSET('Solar Power Plant Data'!H485,-23,0,24,1)))
</f>
        <v>377732.25</v>
      </c>
      <c r="H463" s="21">
        <f>'Solar Power Plant Data'!H462/MAX('Solar Power Plant Data'!E462,0.0001)
</f>
        <v>0</v>
      </c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</row>
    <row r="464">
      <c r="A464" s="21">
        <f>HOUR('Solar Power Plant Data'!A463)</f>
        <v>2</v>
      </c>
      <c r="B464" s="21">
        <f>DAY('Solar Power Plant Data'!A463)</f>
        <v>3</v>
      </c>
      <c r="C464" s="21">
        <f>MONTH('Solar Power Plant Data'!A463)</f>
        <v>7</v>
      </c>
      <c r="D464" s="21" t="str">
        <f>TEXT('Solar Power Plant Data'!A463,"ddd")</f>
        <v>Mon</v>
      </c>
      <c r="E464" s="21">
        <f t="shared" si="1"/>
        <v>0</v>
      </c>
      <c r="F464" s="19">
        <f t="array" ref="F464">IF(ROW()&lt;25,"",INDEX('Solar Power Plant Data'!H:H,ROW()-1))</f>
        <v>0</v>
      </c>
      <c r="G464" s="19">
        <f>IF(ROW()&lt;25,"",AVERAGE(OFFSET('Solar Power Plant Data'!H486,-23,0,24,1)))
</f>
        <v>377732.25</v>
      </c>
      <c r="H464" s="21">
        <f>'Solar Power Plant Data'!H463/MAX('Solar Power Plant Data'!E463,0.0001)
</f>
        <v>0</v>
      </c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</row>
    <row r="465">
      <c r="A465" s="21">
        <f>HOUR('Solar Power Plant Data'!A464)</f>
        <v>2</v>
      </c>
      <c r="B465" s="21">
        <f>DAY('Solar Power Plant Data'!A464)</f>
        <v>4</v>
      </c>
      <c r="C465" s="21">
        <f>MONTH('Solar Power Plant Data'!A464)</f>
        <v>7</v>
      </c>
      <c r="D465" s="21" t="str">
        <f>TEXT('Solar Power Plant Data'!A464,"ddd")</f>
        <v>Tue</v>
      </c>
      <c r="E465" s="21">
        <f t="shared" si="1"/>
        <v>0</v>
      </c>
      <c r="F465" s="19">
        <f t="array" ref="F465">IF(ROW()&lt;25,"",INDEX('Solar Power Plant Data'!H:H,ROW()-1))</f>
        <v>0</v>
      </c>
      <c r="G465" s="19">
        <f>IF(ROW()&lt;25,"",AVERAGE(OFFSET('Solar Power Plant Data'!H487,-23,0,24,1)))
</f>
        <v>377732.25</v>
      </c>
      <c r="H465" s="21">
        <f>'Solar Power Plant Data'!H464/MAX('Solar Power Plant Data'!E464,0.0001)
</f>
        <v>0</v>
      </c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</row>
    <row r="466">
      <c r="A466" s="21">
        <f>HOUR('Solar Power Plant Data'!A465)</f>
        <v>2</v>
      </c>
      <c r="B466" s="21">
        <f>DAY('Solar Power Plant Data'!A465)</f>
        <v>5</v>
      </c>
      <c r="C466" s="21">
        <f>MONTH('Solar Power Plant Data'!A465)</f>
        <v>7</v>
      </c>
      <c r="D466" s="21" t="str">
        <f>TEXT('Solar Power Plant Data'!A465,"ddd")</f>
        <v>Wed</v>
      </c>
      <c r="E466" s="21">
        <f t="shared" si="1"/>
        <v>0</v>
      </c>
      <c r="F466" s="19">
        <f t="array" ref="F466">IF(ROW()&lt;25,"",INDEX('Solar Power Plant Data'!H:H,ROW()-1))</f>
        <v>0</v>
      </c>
      <c r="G466" s="19">
        <f>IF(ROW()&lt;25,"",AVERAGE(OFFSET('Solar Power Plant Data'!H488,-23,0,24,1)))
</f>
        <v>377732.25</v>
      </c>
      <c r="H466" s="21">
        <f>'Solar Power Plant Data'!H465/MAX('Solar Power Plant Data'!E465,0.0001)
</f>
        <v>0</v>
      </c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</row>
    <row r="467">
      <c r="A467" s="21">
        <f>HOUR('Solar Power Plant Data'!A466)</f>
        <v>2</v>
      </c>
      <c r="B467" s="21">
        <f>DAY('Solar Power Plant Data'!A466)</f>
        <v>6</v>
      </c>
      <c r="C467" s="21">
        <f>MONTH('Solar Power Plant Data'!A466)</f>
        <v>7</v>
      </c>
      <c r="D467" s="21" t="str">
        <f>TEXT('Solar Power Plant Data'!A466,"ddd")</f>
        <v>Thu</v>
      </c>
      <c r="E467" s="21">
        <f t="shared" si="1"/>
        <v>0</v>
      </c>
      <c r="F467" s="19">
        <f t="array" ref="F467">IF(ROW()&lt;25,"",INDEX('Solar Power Plant Data'!H:H,ROW()-1))</f>
        <v>0</v>
      </c>
      <c r="G467" s="19">
        <f>IF(ROW()&lt;25,"",AVERAGE(OFFSET('Solar Power Plant Data'!H489,-23,0,24,1)))
</f>
        <v>377732.25</v>
      </c>
      <c r="H467" s="21">
        <f>'Solar Power Plant Data'!H466/MAX('Solar Power Plant Data'!E466,0.0001)
</f>
        <v>0</v>
      </c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</row>
    <row r="468">
      <c r="A468" s="21">
        <f>HOUR('Solar Power Plant Data'!A467)</f>
        <v>2</v>
      </c>
      <c r="B468" s="21">
        <f>DAY('Solar Power Plant Data'!A467)</f>
        <v>7</v>
      </c>
      <c r="C468" s="21">
        <f>MONTH('Solar Power Plant Data'!A467)</f>
        <v>7</v>
      </c>
      <c r="D468" s="21" t="str">
        <f>TEXT('Solar Power Plant Data'!A467,"ddd")</f>
        <v>Fri</v>
      </c>
      <c r="E468" s="21">
        <f t="shared" si="1"/>
        <v>0</v>
      </c>
      <c r="F468" s="19">
        <f t="array" ref="F468">IF(ROW()&lt;25,"",INDEX('Solar Power Plant Data'!H:H,ROW()-1))</f>
        <v>0</v>
      </c>
      <c r="G468" s="19">
        <f>IF(ROW()&lt;25,"",AVERAGE(OFFSET('Solar Power Plant Data'!H490,-23,0,24,1)))
</f>
        <v>377732.25</v>
      </c>
      <c r="H468" s="21">
        <f>'Solar Power Plant Data'!H467/MAX('Solar Power Plant Data'!E467,0.0001)
</f>
        <v>0</v>
      </c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</row>
    <row r="469">
      <c r="A469" s="21">
        <f>HOUR('Solar Power Plant Data'!A468)</f>
        <v>2</v>
      </c>
      <c r="B469" s="21">
        <f>DAY('Solar Power Plant Data'!A468)</f>
        <v>8</v>
      </c>
      <c r="C469" s="21">
        <f>MONTH('Solar Power Plant Data'!A468)</f>
        <v>7</v>
      </c>
      <c r="D469" s="21" t="str">
        <f>TEXT('Solar Power Plant Data'!A468,"ddd")</f>
        <v>Sat</v>
      </c>
      <c r="E469" s="21">
        <f t="shared" si="1"/>
        <v>1</v>
      </c>
      <c r="F469" s="19">
        <f t="array" ref="F469">IF(ROW()&lt;25,"",INDEX('Solar Power Plant Data'!H:H,ROW()-1))</f>
        <v>0</v>
      </c>
      <c r="G469" s="19">
        <f>IF(ROW()&lt;25,"",AVERAGE(OFFSET('Solar Power Plant Data'!H491,-23,0,24,1)))
</f>
        <v>377732.25</v>
      </c>
      <c r="H469" s="21">
        <f>'Solar Power Plant Data'!H468/MAX('Solar Power Plant Data'!E468,0.0001)
</f>
        <v>0</v>
      </c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</row>
    <row r="470">
      <c r="A470" s="21">
        <f>HOUR('Solar Power Plant Data'!A469)</f>
        <v>2</v>
      </c>
      <c r="B470" s="21">
        <f>DAY('Solar Power Plant Data'!A469)</f>
        <v>9</v>
      </c>
      <c r="C470" s="21">
        <f>MONTH('Solar Power Plant Data'!A469)</f>
        <v>7</v>
      </c>
      <c r="D470" s="21" t="str">
        <f>TEXT('Solar Power Plant Data'!A469,"ddd")</f>
        <v>Sun</v>
      </c>
      <c r="E470" s="21">
        <f t="shared" si="1"/>
        <v>1</v>
      </c>
      <c r="F470" s="19">
        <f t="array" ref="F470">IF(ROW()&lt;25,"",INDEX('Solar Power Plant Data'!H:H,ROW()-1))</f>
        <v>1723333</v>
      </c>
      <c r="G470" s="19">
        <f>IF(ROW()&lt;25,"",AVERAGE(OFFSET('Solar Power Plant Data'!H492,-23,0,24,1)))
</f>
        <v>377732.25</v>
      </c>
      <c r="H470" s="21">
        <f>'Solar Power Plant Data'!H469/MAX('Solar Power Plant Data'!E469,0.0001)
</f>
        <v>17233330000</v>
      </c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</row>
    <row r="471">
      <c r="A471" s="21">
        <f>HOUR('Solar Power Plant Data'!A470)</f>
        <v>2</v>
      </c>
      <c r="B471" s="21">
        <f>DAY('Solar Power Plant Data'!A470)</f>
        <v>10</v>
      </c>
      <c r="C471" s="21">
        <f>MONTH('Solar Power Plant Data'!A470)</f>
        <v>7</v>
      </c>
      <c r="D471" s="21" t="str">
        <f>TEXT('Solar Power Plant Data'!A470,"ddd")</f>
        <v>Mon</v>
      </c>
      <c r="E471" s="21">
        <f t="shared" si="1"/>
        <v>0</v>
      </c>
      <c r="F471" s="19">
        <f t="array" ref="F471">IF(ROW()&lt;25,"",INDEX('Solar Power Plant Data'!H:H,ROW()-1))</f>
        <v>5546666</v>
      </c>
      <c r="G471" s="19">
        <f>IF(ROW()&lt;25,"",AVERAGE(OFFSET('Solar Power Plant Data'!H493,-23,0,24,1)))
</f>
        <v>305934.375</v>
      </c>
      <c r="H471" s="21">
        <f>'Solar Power Plant Data'!H470/MAX('Solar Power Plant Data'!E470,0.0001)
</f>
        <v>55466660000</v>
      </c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</row>
    <row r="472">
      <c r="A472" s="21">
        <f>HOUR('Solar Power Plant Data'!A471)</f>
        <v>2</v>
      </c>
      <c r="B472" s="21">
        <f>DAY('Solar Power Plant Data'!A471)</f>
        <v>11</v>
      </c>
      <c r="C472" s="21">
        <f>MONTH('Solar Power Plant Data'!A471)</f>
        <v>7</v>
      </c>
      <c r="D472" s="21" t="str">
        <f>TEXT('Solar Power Plant Data'!A471,"ddd")</f>
        <v>Tue</v>
      </c>
      <c r="E472" s="21">
        <f t="shared" si="1"/>
        <v>0</v>
      </c>
      <c r="F472" s="19">
        <f t="array" ref="F472">IF(ROW()&lt;25,"",INDEX('Solar Power Plant Data'!H:H,ROW()-1))</f>
        <v>574</v>
      </c>
      <c r="G472" s="19">
        <f>IF(ROW()&lt;25,"",AVERAGE(OFFSET('Solar Power Plant Data'!H494,-23,0,24,1)))
</f>
        <v>630101.0417</v>
      </c>
      <c r="H472" s="21">
        <f>'Solar Power Plant Data'!H471/MAX('Solar Power Plant Data'!E471,0.0001)
</f>
        <v>5740000</v>
      </c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</row>
    <row r="473">
      <c r="A473" s="21">
        <f>HOUR('Solar Power Plant Data'!A472)</f>
        <v>2</v>
      </c>
      <c r="B473" s="21">
        <f>DAY('Solar Power Plant Data'!A472)</f>
        <v>12</v>
      </c>
      <c r="C473" s="21">
        <f>MONTH('Solar Power Plant Data'!A472)</f>
        <v>7</v>
      </c>
      <c r="D473" s="21" t="str">
        <f>TEXT('Solar Power Plant Data'!A472,"ddd")</f>
        <v>Wed</v>
      </c>
      <c r="E473" s="21">
        <f t="shared" si="1"/>
        <v>0</v>
      </c>
      <c r="F473" s="19">
        <f t="array" ref="F473">IF(ROW()&lt;25,"",INDEX('Solar Power Plant Data'!H:H,ROW()-1))</f>
        <v>1398334</v>
      </c>
      <c r="G473" s="19">
        <f>IF(ROW()&lt;25,"",AVERAGE(OFFSET('Solar Power Plant Data'!H495,-23,0,24,1)))
</f>
        <v>1131257.667</v>
      </c>
      <c r="H473" s="21">
        <f>'Solar Power Plant Data'!H472/MAX('Solar Power Plant Data'!E472,0.0001)
</f>
        <v>13983340000</v>
      </c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</row>
    <row r="474">
      <c r="A474" s="21">
        <f>HOUR('Solar Power Plant Data'!A473)</f>
        <v>2</v>
      </c>
      <c r="B474" s="21">
        <f>DAY('Solar Power Plant Data'!A473)</f>
        <v>13</v>
      </c>
      <c r="C474" s="21">
        <f>MONTH('Solar Power Plant Data'!A473)</f>
        <v>7</v>
      </c>
      <c r="D474" s="21" t="str">
        <f>TEXT('Solar Power Plant Data'!A473,"ddd")</f>
        <v>Thu</v>
      </c>
      <c r="E474" s="21">
        <f t="shared" si="1"/>
        <v>0</v>
      </c>
      <c r="F474" s="19">
        <f t="array" ref="F474">IF(ROW()&lt;25,"",INDEX('Solar Power Plant Data'!H:H,ROW()-1))</f>
        <v>396667</v>
      </c>
      <c r="G474" s="19">
        <f>IF(ROW()&lt;25,"",AVERAGE(OFFSET('Solar Power Plant Data'!H496,-23,0,24,1)))
</f>
        <v>1073010.167</v>
      </c>
      <c r="H474" s="21">
        <f>'Solar Power Plant Data'!H473/MAX('Solar Power Plant Data'!E473,0.0001)
</f>
        <v>3966670000</v>
      </c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</row>
    <row r="475">
      <c r="A475" s="21">
        <f>HOUR('Solar Power Plant Data'!A474)</f>
        <v>2</v>
      </c>
      <c r="B475" s="21">
        <f>DAY('Solar Power Plant Data'!A474)</f>
        <v>14</v>
      </c>
      <c r="C475" s="21">
        <f>MONTH('Solar Power Plant Data'!A474)</f>
        <v>7</v>
      </c>
      <c r="D475" s="21" t="str">
        <f>TEXT('Solar Power Plant Data'!A474,"ddd")</f>
        <v>Fri</v>
      </c>
      <c r="E475" s="21">
        <f t="shared" si="1"/>
        <v>0</v>
      </c>
      <c r="F475" s="19">
        <f t="array" ref="F475">IF(ROW()&lt;25,"",INDEX('Solar Power Plant Data'!H:H,ROW()-1))</f>
        <v>0</v>
      </c>
      <c r="G475" s="19">
        <f>IF(ROW()&lt;25,"",AVERAGE(OFFSET('Solar Power Plant Data'!H497,-23,0,24,1)))
</f>
        <v>1197454.542</v>
      </c>
      <c r="H475" s="21">
        <f>'Solar Power Plant Data'!H474/MAX('Solar Power Plant Data'!E474,0.0001)
</f>
        <v>0</v>
      </c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</row>
    <row r="476">
      <c r="A476" s="21">
        <f>HOUR('Solar Power Plant Data'!A475)</f>
        <v>2</v>
      </c>
      <c r="B476" s="21">
        <f>DAY('Solar Power Plant Data'!A475)</f>
        <v>15</v>
      </c>
      <c r="C476" s="21">
        <f>MONTH('Solar Power Plant Data'!A475)</f>
        <v>7</v>
      </c>
      <c r="D476" s="21" t="str">
        <f>TEXT('Solar Power Plant Data'!A475,"ddd")</f>
        <v>Sat</v>
      </c>
      <c r="E476" s="21">
        <f t="shared" si="1"/>
        <v>1</v>
      </c>
      <c r="F476" s="19">
        <f t="array" ref="F476">IF(ROW()&lt;25,"",INDEX('Solar Power Plant Data'!H:H,ROW()-1))</f>
        <v>0</v>
      </c>
      <c r="G476" s="19">
        <f>IF(ROW()&lt;25,"",AVERAGE(OFFSET('Solar Power Plant Data'!H498,-23,0,24,1)))
</f>
        <v>1215301.75</v>
      </c>
      <c r="H476" s="21">
        <f>'Solar Power Plant Data'!H475/MAX('Solar Power Plant Data'!E475,0.0001)
</f>
        <v>0</v>
      </c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</row>
    <row r="477">
      <c r="A477" s="21">
        <f>HOUR('Solar Power Plant Data'!A476)</f>
        <v>2</v>
      </c>
      <c r="B477" s="21">
        <f>DAY('Solar Power Plant Data'!A476)</f>
        <v>16</v>
      </c>
      <c r="C477" s="21">
        <f>MONTH('Solar Power Plant Data'!A476)</f>
        <v>7</v>
      </c>
      <c r="D477" s="21" t="str">
        <f>TEXT('Solar Power Plant Data'!A476,"ddd")</f>
        <v>Sun</v>
      </c>
      <c r="E477" s="21">
        <f t="shared" si="1"/>
        <v>1</v>
      </c>
      <c r="F477" s="19">
        <f t="array" ref="F477">IF(ROW()&lt;25,"",INDEX('Solar Power Plant Data'!H:H,ROW()-1))</f>
        <v>0</v>
      </c>
      <c r="G477" s="19">
        <f>IF(ROW()&lt;25,"",AVERAGE(OFFSET('Solar Power Plant Data'!H499,-23,0,24,1)))
</f>
        <v>1215301.75</v>
      </c>
      <c r="H477" s="21">
        <f>'Solar Power Plant Data'!H476/MAX('Solar Power Plant Data'!E476,0.0001)
</f>
        <v>0</v>
      </c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</row>
    <row r="478">
      <c r="A478" s="21">
        <f>HOUR('Solar Power Plant Data'!A477)</f>
        <v>2</v>
      </c>
      <c r="B478" s="21">
        <f>DAY('Solar Power Plant Data'!A477)</f>
        <v>17</v>
      </c>
      <c r="C478" s="21">
        <f>MONTH('Solar Power Plant Data'!A477)</f>
        <v>7</v>
      </c>
      <c r="D478" s="21" t="str">
        <f>TEXT('Solar Power Plant Data'!A477,"ddd")</f>
        <v>Mon</v>
      </c>
      <c r="E478" s="21">
        <f t="shared" si="1"/>
        <v>0</v>
      </c>
      <c r="F478" s="19">
        <f t="array" ref="F478">IF(ROW()&lt;25,"",INDEX('Solar Power Plant Data'!H:H,ROW()-1))</f>
        <v>0</v>
      </c>
      <c r="G478" s="19">
        <f>IF(ROW()&lt;25,"",AVERAGE(OFFSET('Solar Power Plant Data'!H500,-23,0,24,1)))
</f>
        <v>1215301.75</v>
      </c>
      <c r="H478" s="21">
        <f>'Solar Power Plant Data'!H477/MAX('Solar Power Plant Data'!E477,0.0001)
</f>
        <v>0</v>
      </c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</row>
    <row r="479">
      <c r="A479" s="21">
        <f>HOUR('Solar Power Plant Data'!A478)</f>
        <v>2</v>
      </c>
      <c r="B479" s="21">
        <f>DAY('Solar Power Plant Data'!A478)</f>
        <v>18</v>
      </c>
      <c r="C479" s="21">
        <f>MONTH('Solar Power Plant Data'!A478)</f>
        <v>7</v>
      </c>
      <c r="D479" s="21" t="str">
        <f>TEXT('Solar Power Plant Data'!A478,"ddd")</f>
        <v>Tue</v>
      </c>
      <c r="E479" s="21">
        <f t="shared" si="1"/>
        <v>0</v>
      </c>
      <c r="F479" s="19">
        <f t="array" ref="F479">IF(ROW()&lt;25,"",INDEX('Solar Power Plant Data'!H:H,ROW()-1))</f>
        <v>0</v>
      </c>
      <c r="G479" s="19">
        <f>IF(ROW()&lt;25,"",AVERAGE(OFFSET('Solar Power Plant Data'!H501,-23,0,24,1)))
</f>
        <v>1215301.75</v>
      </c>
      <c r="H479" s="21">
        <f>'Solar Power Plant Data'!H478/MAX('Solar Power Plant Data'!E478,0.0001)
</f>
        <v>0</v>
      </c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</row>
    <row r="480">
      <c r="A480" s="21">
        <f>HOUR('Solar Power Plant Data'!A479)</f>
        <v>2</v>
      </c>
      <c r="B480" s="21">
        <f>DAY('Solar Power Plant Data'!A479)</f>
        <v>19</v>
      </c>
      <c r="C480" s="21">
        <f>MONTH('Solar Power Plant Data'!A479)</f>
        <v>7</v>
      </c>
      <c r="D480" s="21" t="str">
        <f>TEXT('Solar Power Plant Data'!A479,"ddd")</f>
        <v>Wed</v>
      </c>
      <c r="E480" s="21">
        <f t="shared" si="1"/>
        <v>0</v>
      </c>
      <c r="F480" s="19">
        <f t="array" ref="F480">IF(ROW()&lt;25,"",INDEX('Solar Power Plant Data'!H:H,ROW()-1))</f>
        <v>0</v>
      </c>
      <c r="G480" s="19">
        <f>IF(ROW()&lt;25,"",AVERAGE(OFFSET('Solar Power Plant Data'!H502,-23,0,24,1)))
</f>
        <v>1215301.75</v>
      </c>
      <c r="H480" s="21">
        <f>'Solar Power Plant Data'!H479/MAX('Solar Power Plant Data'!E479,0.0001)
</f>
        <v>0</v>
      </c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</row>
    <row r="481">
      <c r="A481" s="21">
        <f>HOUR('Solar Power Plant Data'!A480)</f>
        <v>2</v>
      </c>
      <c r="B481" s="21">
        <f>DAY('Solar Power Plant Data'!A480)</f>
        <v>20</v>
      </c>
      <c r="C481" s="21">
        <f>MONTH('Solar Power Plant Data'!A480)</f>
        <v>7</v>
      </c>
      <c r="D481" s="21" t="str">
        <f>TEXT('Solar Power Plant Data'!A480,"ddd")</f>
        <v>Thu</v>
      </c>
      <c r="E481" s="21">
        <f t="shared" si="1"/>
        <v>0</v>
      </c>
      <c r="F481" s="19">
        <f t="array" ref="F481">IF(ROW()&lt;25,"",INDEX('Solar Power Plant Data'!H:H,ROW()-1))</f>
        <v>0</v>
      </c>
      <c r="G481" s="19">
        <f>IF(ROW()&lt;25,"",AVERAGE(OFFSET('Solar Power Plant Data'!H503,-23,0,24,1)))
</f>
        <v>1215301.75</v>
      </c>
      <c r="H481" s="21">
        <f>'Solar Power Plant Data'!H480/MAX('Solar Power Plant Data'!E480,0.0001)
</f>
        <v>0</v>
      </c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</row>
    <row r="482">
      <c r="A482" s="21">
        <f>HOUR('Solar Power Plant Data'!A481)</f>
        <v>2</v>
      </c>
      <c r="B482" s="21">
        <f>DAY('Solar Power Plant Data'!A481)</f>
        <v>21</v>
      </c>
      <c r="C482" s="21">
        <f>MONTH('Solar Power Plant Data'!A481)</f>
        <v>7</v>
      </c>
      <c r="D482" s="21" t="str">
        <f>TEXT('Solar Power Plant Data'!A481,"ddd")</f>
        <v>Fri</v>
      </c>
      <c r="E482" s="21">
        <f t="shared" si="1"/>
        <v>0</v>
      </c>
      <c r="F482" s="19">
        <f t="array" ref="F482">IF(ROW()&lt;25,"",INDEX('Solar Power Plant Data'!H:H,ROW()-1))</f>
        <v>0</v>
      </c>
      <c r="G482" s="19">
        <f>IF(ROW()&lt;25,"",AVERAGE(OFFSET('Solar Power Plant Data'!H504,-23,0,24,1)))
</f>
        <v>1215301.75</v>
      </c>
      <c r="H482" s="21">
        <f>'Solar Power Plant Data'!H481/MAX('Solar Power Plant Data'!E481,0.0001)
</f>
        <v>0</v>
      </c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</row>
    <row r="483">
      <c r="A483" s="21">
        <f>HOUR('Solar Power Plant Data'!A482)</f>
        <v>2</v>
      </c>
      <c r="B483" s="21">
        <f>DAY('Solar Power Plant Data'!A482)</f>
        <v>22</v>
      </c>
      <c r="C483" s="21">
        <f>MONTH('Solar Power Plant Data'!A482)</f>
        <v>7</v>
      </c>
      <c r="D483" s="21" t="str">
        <f>TEXT('Solar Power Plant Data'!A482,"ddd")</f>
        <v>Sat</v>
      </c>
      <c r="E483" s="21">
        <f t="shared" si="1"/>
        <v>1</v>
      </c>
      <c r="F483" s="19">
        <f t="array" ref="F483">IF(ROW()&lt;25,"",INDEX('Solar Power Plant Data'!H:H,ROW()-1))</f>
        <v>0</v>
      </c>
      <c r="G483" s="19">
        <f>IF(ROW()&lt;25,"",AVERAGE(OFFSET('Solar Power Plant Data'!H505,-23,0,24,1)))
</f>
        <v>1215301.75</v>
      </c>
      <c r="H483" s="21">
        <f>'Solar Power Plant Data'!H482/MAX('Solar Power Plant Data'!E482,0.0001)
</f>
        <v>0</v>
      </c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</row>
    <row r="484">
      <c r="A484" s="21">
        <f>HOUR('Solar Power Plant Data'!A483)</f>
        <v>2</v>
      </c>
      <c r="B484" s="21">
        <f>DAY('Solar Power Plant Data'!A483)</f>
        <v>23</v>
      </c>
      <c r="C484" s="21">
        <f>MONTH('Solar Power Plant Data'!A483)</f>
        <v>7</v>
      </c>
      <c r="D484" s="21" t="str">
        <f>TEXT('Solar Power Plant Data'!A483,"ddd")</f>
        <v>Sun</v>
      </c>
      <c r="E484" s="21">
        <f t="shared" si="1"/>
        <v>1</v>
      </c>
      <c r="F484" s="19">
        <f t="array" ref="F484">IF(ROW()&lt;25,"",INDEX('Solar Power Plant Data'!H:H,ROW()-1))</f>
        <v>0</v>
      </c>
      <c r="G484" s="19">
        <f>IF(ROW()&lt;25,"",AVERAGE(OFFSET('Solar Power Plant Data'!H506,-23,0,24,1)))
</f>
        <v>1215301.75</v>
      </c>
      <c r="H484" s="21">
        <f>'Solar Power Plant Data'!H483/MAX('Solar Power Plant Data'!E483,0.0001)
</f>
        <v>0</v>
      </c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</row>
    <row r="485">
      <c r="A485" s="21">
        <f>HOUR('Solar Power Plant Data'!A484)</f>
        <v>2</v>
      </c>
      <c r="B485" s="21">
        <f>DAY('Solar Power Plant Data'!A484)</f>
        <v>24</v>
      </c>
      <c r="C485" s="21">
        <f>MONTH('Solar Power Plant Data'!A484)</f>
        <v>7</v>
      </c>
      <c r="D485" s="21" t="str">
        <f>TEXT('Solar Power Plant Data'!A484,"ddd")</f>
        <v>Mon</v>
      </c>
      <c r="E485" s="21">
        <f t="shared" si="1"/>
        <v>0</v>
      </c>
      <c r="F485" s="19">
        <f t="array" ref="F485">IF(ROW()&lt;25,"",INDEX('Solar Power Plant Data'!H:H,ROW()-1))</f>
        <v>0</v>
      </c>
      <c r="G485" s="19">
        <f>IF(ROW()&lt;25,"",AVERAGE(OFFSET('Solar Power Plant Data'!H507,-23,0,24,1)))
</f>
        <v>1215301.75</v>
      </c>
      <c r="H485" s="21">
        <f>'Solar Power Plant Data'!H484/MAX('Solar Power Plant Data'!E484,0.0001)
</f>
        <v>0</v>
      </c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</row>
    <row r="486">
      <c r="A486" s="21">
        <f>HOUR('Solar Power Plant Data'!A485)</f>
        <v>2</v>
      </c>
      <c r="B486" s="21">
        <f>DAY('Solar Power Plant Data'!A485)</f>
        <v>25</v>
      </c>
      <c r="C486" s="21">
        <f>MONTH('Solar Power Plant Data'!A485)</f>
        <v>7</v>
      </c>
      <c r="D486" s="21" t="str">
        <f>TEXT('Solar Power Plant Data'!A485,"ddd")</f>
        <v>Tue</v>
      </c>
      <c r="E486" s="21">
        <f t="shared" si="1"/>
        <v>0</v>
      </c>
      <c r="F486" s="19">
        <f t="array" ref="F486">IF(ROW()&lt;25,"",INDEX('Solar Power Plant Data'!H:H,ROW()-1))</f>
        <v>0</v>
      </c>
      <c r="G486" s="19">
        <f>IF(ROW()&lt;25,"",AVERAGE(OFFSET('Solar Power Plant Data'!H508,-23,0,24,1)))
</f>
        <v>1215301.75</v>
      </c>
      <c r="H486" s="21">
        <f>'Solar Power Plant Data'!H485/MAX('Solar Power Plant Data'!E485,0.0001)
</f>
        <v>0</v>
      </c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</row>
    <row r="487">
      <c r="A487" s="21">
        <f>HOUR('Solar Power Plant Data'!A486)</f>
        <v>2</v>
      </c>
      <c r="B487" s="21">
        <f>DAY('Solar Power Plant Data'!A486)</f>
        <v>26</v>
      </c>
      <c r="C487" s="21">
        <f>MONTH('Solar Power Plant Data'!A486)</f>
        <v>7</v>
      </c>
      <c r="D487" s="21" t="str">
        <f>TEXT('Solar Power Plant Data'!A486,"ddd")</f>
        <v>Wed</v>
      </c>
      <c r="E487" s="21">
        <f t="shared" si="1"/>
        <v>0</v>
      </c>
      <c r="F487" s="19">
        <f t="array" ref="F487">IF(ROW()&lt;25,"",INDEX('Solar Power Plant Data'!H:H,ROW()-1))</f>
        <v>0</v>
      </c>
      <c r="G487" s="19">
        <f>IF(ROW()&lt;25,"",AVERAGE(OFFSET('Solar Power Plant Data'!H509,-23,0,24,1)))
</f>
        <v>1215301.75</v>
      </c>
      <c r="H487" s="21">
        <f>'Solar Power Plant Data'!H486/MAX('Solar Power Plant Data'!E486,0.0001)
</f>
        <v>0</v>
      </c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</row>
    <row r="488">
      <c r="A488" s="21">
        <f>HOUR('Solar Power Plant Data'!A487)</f>
        <v>2</v>
      </c>
      <c r="B488" s="21">
        <f>DAY('Solar Power Plant Data'!A487)</f>
        <v>27</v>
      </c>
      <c r="C488" s="21">
        <f>MONTH('Solar Power Plant Data'!A487)</f>
        <v>7</v>
      </c>
      <c r="D488" s="21" t="str">
        <f>TEXT('Solar Power Plant Data'!A487,"ddd")</f>
        <v>Thu</v>
      </c>
      <c r="E488" s="21">
        <f t="shared" si="1"/>
        <v>0</v>
      </c>
      <c r="F488" s="19">
        <f t="array" ref="F488">IF(ROW()&lt;25,"",INDEX('Solar Power Plant Data'!H:H,ROW()-1))</f>
        <v>0</v>
      </c>
      <c r="G488" s="19">
        <f>IF(ROW()&lt;25,"",AVERAGE(OFFSET('Solar Power Plant Data'!H510,-23,0,24,1)))
</f>
        <v>1215301.75</v>
      </c>
      <c r="H488" s="21">
        <f>'Solar Power Plant Data'!H487/MAX('Solar Power Plant Data'!E487,0.0001)
</f>
        <v>0</v>
      </c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</row>
    <row r="489">
      <c r="A489" s="21">
        <f>HOUR('Solar Power Plant Data'!A488)</f>
        <v>2</v>
      </c>
      <c r="B489" s="21">
        <f>DAY('Solar Power Plant Data'!A488)</f>
        <v>28</v>
      </c>
      <c r="C489" s="21">
        <f>MONTH('Solar Power Plant Data'!A488)</f>
        <v>7</v>
      </c>
      <c r="D489" s="21" t="str">
        <f>TEXT('Solar Power Plant Data'!A488,"ddd")</f>
        <v>Fri</v>
      </c>
      <c r="E489" s="21">
        <f t="shared" si="1"/>
        <v>0</v>
      </c>
      <c r="F489" s="19">
        <f t="array" ref="F489">IF(ROW()&lt;25,"",INDEX('Solar Power Plant Data'!H:H,ROW()-1))</f>
        <v>0</v>
      </c>
      <c r="G489" s="19">
        <f>IF(ROW()&lt;25,"",AVERAGE(OFFSET('Solar Power Plant Data'!H511,-23,0,24,1)))
</f>
        <v>1215301.75</v>
      </c>
      <c r="H489" s="21">
        <f>'Solar Power Plant Data'!H488/MAX('Solar Power Plant Data'!E488,0.0001)
</f>
        <v>0</v>
      </c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</row>
    <row r="490">
      <c r="A490" s="21">
        <f>HOUR('Solar Power Plant Data'!A489)</f>
        <v>2</v>
      </c>
      <c r="B490" s="21">
        <f>DAY('Solar Power Plant Data'!A489)</f>
        <v>29</v>
      </c>
      <c r="C490" s="21">
        <f>MONTH('Solar Power Plant Data'!A489)</f>
        <v>7</v>
      </c>
      <c r="D490" s="21" t="str">
        <f>TEXT('Solar Power Plant Data'!A489,"ddd")</f>
        <v>Sat</v>
      </c>
      <c r="E490" s="21">
        <f t="shared" si="1"/>
        <v>1</v>
      </c>
      <c r="F490" s="19">
        <f t="array" ref="F490">IF(ROW()&lt;25,"",INDEX('Solar Power Plant Data'!H:H,ROW()-1))</f>
        <v>0</v>
      </c>
      <c r="G490" s="19">
        <f>IF(ROW()&lt;25,"",AVERAGE(OFFSET('Solar Power Plant Data'!H512,-23,0,24,1)))
</f>
        <v>1215301.75</v>
      </c>
      <c r="H490" s="21">
        <f>'Solar Power Plant Data'!H489/MAX('Solar Power Plant Data'!E489,0.0001)
</f>
        <v>0</v>
      </c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</row>
    <row r="491">
      <c r="A491" s="21">
        <f>HOUR('Solar Power Plant Data'!A490)</f>
        <v>2</v>
      </c>
      <c r="B491" s="21">
        <f>DAY('Solar Power Plant Data'!A490)</f>
        <v>30</v>
      </c>
      <c r="C491" s="21">
        <f>MONTH('Solar Power Plant Data'!A490)</f>
        <v>7</v>
      </c>
      <c r="D491" s="21" t="str">
        <f>TEXT('Solar Power Plant Data'!A490,"ddd")</f>
        <v>Sun</v>
      </c>
      <c r="E491" s="21">
        <f t="shared" si="1"/>
        <v>1</v>
      </c>
      <c r="F491" s="19">
        <f t="array" ref="F491">IF(ROW()&lt;25,"",INDEX('Solar Power Plant Data'!H:H,ROW()-1))</f>
        <v>0</v>
      </c>
      <c r="G491" s="19">
        <f>IF(ROW()&lt;25,"",AVERAGE(OFFSET('Solar Power Plant Data'!H513,-23,0,24,1)))
</f>
        <v>1215301.75</v>
      </c>
      <c r="H491" s="21">
        <f>'Solar Power Plant Data'!H490/MAX('Solar Power Plant Data'!E490,0.0001)
</f>
        <v>0</v>
      </c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</row>
    <row r="492">
      <c r="A492" s="21">
        <f>HOUR('Solar Power Plant Data'!A491)</f>
        <v>2</v>
      </c>
      <c r="B492" s="21">
        <f>DAY('Solar Power Plant Data'!A491)</f>
        <v>31</v>
      </c>
      <c r="C492" s="21">
        <f>MONTH('Solar Power Plant Data'!A491)</f>
        <v>7</v>
      </c>
      <c r="D492" s="21" t="str">
        <f>TEXT('Solar Power Plant Data'!A491,"ddd")</f>
        <v>Mon</v>
      </c>
      <c r="E492" s="21">
        <f t="shared" si="1"/>
        <v>0</v>
      </c>
      <c r="F492" s="19">
        <f t="array" ref="F492">IF(ROW()&lt;25,"",INDEX('Solar Power Plant Data'!H:H,ROW()-1))</f>
        <v>0</v>
      </c>
      <c r="G492" s="19">
        <f>IF(ROW()&lt;25,"",AVERAGE(OFFSET('Solar Power Plant Data'!H514,-23,0,24,1)))
</f>
        <v>1215301.75</v>
      </c>
      <c r="H492" s="21">
        <f>'Solar Power Plant Data'!H491/MAX('Solar Power Plant Data'!E491,0.0001)
</f>
        <v>0</v>
      </c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</row>
    <row r="493">
      <c r="A493" s="21">
        <f>HOUR('Solar Power Plant Data'!A492)</f>
        <v>2</v>
      </c>
      <c r="B493" s="21">
        <f>DAY('Solar Power Plant Data'!A492)</f>
        <v>1</v>
      </c>
      <c r="C493" s="21">
        <f>MONTH('Solar Power Plant Data'!A492)</f>
        <v>8</v>
      </c>
      <c r="D493" s="21" t="str">
        <f>TEXT('Solar Power Plant Data'!A492,"ddd")</f>
        <v>Tue</v>
      </c>
      <c r="E493" s="21">
        <f t="shared" si="1"/>
        <v>0</v>
      </c>
      <c r="F493" s="19">
        <f t="array" ref="F493">IF(ROW()&lt;25,"",INDEX('Solar Power Plant Data'!H:H,ROW()-1))</f>
        <v>0</v>
      </c>
      <c r="G493" s="19">
        <f>IF(ROW()&lt;25,"",AVERAGE(OFFSET('Solar Power Plant Data'!H515,-23,0,24,1)))
</f>
        <v>1215301.75</v>
      </c>
      <c r="H493" s="21">
        <f>'Solar Power Plant Data'!H492/MAX('Solar Power Plant Data'!E492,0.0001)
</f>
        <v>0</v>
      </c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</row>
    <row r="494">
      <c r="A494" s="21">
        <f>HOUR('Solar Power Plant Data'!A493)</f>
        <v>2</v>
      </c>
      <c r="B494" s="21">
        <f>DAY('Solar Power Plant Data'!A493)</f>
        <v>2</v>
      </c>
      <c r="C494" s="21">
        <f>MONTH('Solar Power Plant Data'!A493)</f>
        <v>8</v>
      </c>
      <c r="D494" s="21" t="str">
        <f>TEXT('Solar Power Plant Data'!A493,"ddd")</f>
        <v>Wed</v>
      </c>
      <c r="E494" s="21">
        <f t="shared" si="1"/>
        <v>0</v>
      </c>
      <c r="F494" s="19">
        <f t="array" ref="F494">IF(ROW()&lt;25,"",INDEX('Solar Power Plant Data'!H:H,ROW()-1))</f>
        <v>184</v>
      </c>
      <c r="G494" s="19">
        <f>IF(ROW()&lt;25,"",AVERAGE(OFFSET('Solar Power Plant Data'!H516,-23,0,24,1)))
</f>
        <v>1215301.75</v>
      </c>
      <c r="H494" s="21">
        <f>'Solar Power Plant Data'!H493/MAX('Solar Power Plant Data'!E493,0.0001)
</f>
        <v>1840000</v>
      </c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</row>
    <row r="495">
      <c r="A495" s="21">
        <f>HOUR('Solar Power Plant Data'!A494)</f>
        <v>2</v>
      </c>
      <c r="B495" s="21">
        <f>DAY('Solar Power Plant Data'!A494)</f>
        <v>3</v>
      </c>
      <c r="C495" s="21">
        <f>MONTH('Solar Power Plant Data'!A494)</f>
        <v>8</v>
      </c>
      <c r="D495" s="21" t="str">
        <f>TEXT('Solar Power Plant Data'!A494,"ddd")</f>
        <v>Thu</v>
      </c>
      <c r="E495" s="21">
        <f t="shared" si="1"/>
        <v>0</v>
      </c>
      <c r="F495" s="19">
        <f t="array" ref="F495">IF(ROW()&lt;25,"",INDEX('Solar Power Plant Data'!H:H,ROW()-1))</f>
        <v>13326666</v>
      </c>
      <c r="G495" s="19">
        <f>IF(ROW()&lt;25,"",AVERAGE(OFFSET('Solar Power Plant Data'!H517,-23,0,24,1)))
</f>
        <v>1215294.083</v>
      </c>
      <c r="H495" s="21">
        <f>'Solar Power Plant Data'!H494/MAX('Solar Power Plant Data'!E494,0.0001)
</f>
        <v>133266660000</v>
      </c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</row>
    <row r="496">
      <c r="A496" s="21">
        <f>HOUR('Solar Power Plant Data'!A495)</f>
        <v>2</v>
      </c>
      <c r="B496" s="21">
        <f>DAY('Solar Power Plant Data'!A495)</f>
        <v>4</v>
      </c>
      <c r="C496" s="21">
        <f>MONTH('Solar Power Plant Data'!A495)</f>
        <v>8</v>
      </c>
      <c r="D496" s="21" t="str">
        <f>TEXT('Solar Power Plant Data'!A495,"ddd")</f>
        <v>Fri</v>
      </c>
      <c r="E496" s="21">
        <f t="shared" si="1"/>
        <v>0</v>
      </c>
      <c r="F496" s="19">
        <f t="array" ref="F496">IF(ROW()&lt;25,"",INDEX('Solar Power Plant Data'!H:H,ROW()-1))</f>
        <v>12028333</v>
      </c>
      <c r="G496" s="19">
        <f>IF(ROW()&lt;25,"",AVERAGE(OFFSET('Solar Power Plant Data'!H518,-23,0,24,1)))
</f>
        <v>660016.3333</v>
      </c>
      <c r="H496" s="21">
        <f>'Solar Power Plant Data'!H495/MAX('Solar Power Plant Data'!E495,0.0001)
</f>
        <v>120283330000</v>
      </c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</row>
    <row r="497">
      <c r="A497" s="21">
        <f>HOUR('Solar Power Plant Data'!A496)</f>
        <v>2</v>
      </c>
      <c r="B497" s="21">
        <f>DAY('Solar Power Plant Data'!A496)</f>
        <v>5</v>
      </c>
      <c r="C497" s="21">
        <f>MONTH('Solar Power Plant Data'!A496)</f>
        <v>8</v>
      </c>
      <c r="D497" s="21" t="str">
        <f>TEXT('Solar Power Plant Data'!A496,"ddd")</f>
        <v>Sat</v>
      </c>
      <c r="E497" s="21">
        <f t="shared" si="1"/>
        <v>1</v>
      </c>
      <c r="F497" s="19">
        <f t="array" ref="F497">IF(ROW()&lt;25,"",INDEX('Solar Power Plant Data'!H:H,ROW()-1))</f>
        <v>394</v>
      </c>
      <c r="G497" s="19">
        <f>IF(ROW()&lt;25,"",AVERAGE(OFFSET('Solar Power Plant Data'!H519,-23,0,24,1)))
</f>
        <v>158835.7917</v>
      </c>
      <c r="H497" s="21">
        <f>'Solar Power Plant Data'!H496/MAX('Solar Power Plant Data'!E496,0.0001)
</f>
        <v>3940000</v>
      </c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</row>
    <row r="498">
      <c r="A498" s="21">
        <f>HOUR('Solar Power Plant Data'!A497)</f>
        <v>2</v>
      </c>
      <c r="B498" s="21">
        <f>DAY('Solar Power Plant Data'!A497)</f>
        <v>6</v>
      </c>
      <c r="C498" s="21">
        <f>MONTH('Solar Power Plant Data'!A497)</f>
        <v>8</v>
      </c>
      <c r="D498" s="21" t="str">
        <f>TEXT('Solar Power Plant Data'!A497,"ddd")</f>
        <v>Sun</v>
      </c>
      <c r="E498" s="21">
        <f t="shared" si="1"/>
        <v>1</v>
      </c>
      <c r="F498" s="19">
        <f t="array" ref="F498">IF(ROW()&lt;25,"",INDEX('Solar Power Plant Data'!H:H,ROW()-1))</f>
        <v>3383332</v>
      </c>
      <c r="G498" s="19">
        <f>IF(ROW()&lt;25,"",AVERAGE(OFFSET('Solar Power Plant Data'!H520,-23,0,24,1)))
</f>
        <v>186805.4583</v>
      </c>
      <c r="H498" s="21">
        <f>'Solar Power Plant Data'!H497/MAX('Solar Power Plant Data'!E497,0.0001)
</f>
        <v>33833320000</v>
      </c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</row>
    <row r="499">
      <c r="A499" s="21">
        <f>HOUR('Solar Power Plant Data'!A498)</f>
        <v>2</v>
      </c>
      <c r="B499" s="21">
        <f>DAY('Solar Power Plant Data'!A498)</f>
        <v>7</v>
      </c>
      <c r="C499" s="21">
        <f>MONTH('Solar Power Plant Data'!A498)</f>
        <v>8</v>
      </c>
      <c r="D499" s="21" t="str">
        <f>TEXT('Solar Power Plant Data'!A498,"ddd")</f>
        <v>Mon</v>
      </c>
      <c r="E499" s="21">
        <f t="shared" si="1"/>
        <v>0</v>
      </c>
      <c r="F499" s="19">
        <f t="array" ref="F499">IF(ROW()&lt;25,"",INDEX('Solar Power Plant Data'!H:H,ROW()-1))</f>
        <v>428333</v>
      </c>
      <c r="G499" s="19">
        <f>IF(ROW()&lt;25,"",AVERAGE(OFFSET('Solar Power Plant Data'!H521,-23,0,24,1)))
</f>
        <v>45834.83333</v>
      </c>
      <c r="H499" s="21">
        <f>'Solar Power Plant Data'!H498/MAX('Solar Power Plant Data'!E498,0.0001)
</f>
        <v>4283330000</v>
      </c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</row>
    <row r="500">
      <c r="A500" s="21">
        <f>HOUR('Solar Power Plant Data'!A499)</f>
        <v>2</v>
      </c>
      <c r="B500" s="21">
        <f>DAY('Solar Power Plant Data'!A499)</f>
        <v>8</v>
      </c>
      <c r="C500" s="21">
        <f>MONTH('Solar Power Plant Data'!A499)</f>
        <v>8</v>
      </c>
      <c r="D500" s="21" t="str">
        <f>TEXT('Solar Power Plant Data'!A499,"ddd")</f>
        <v>Tue</v>
      </c>
      <c r="E500" s="21">
        <f t="shared" si="1"/>
        <v>0</v>
      </c>
      <c r="F500" s="19">
        <f t="array" ref="F500">IF(ROW()&lt;25,"",INDEX('Solar Power Plant Data'!H:H,ROW()-1))</f>
        <v>0</v>
      </c>
      <c r="G500" s="19">
        <f>IF(ROW()&lt;25,"",AVERAGE(OFFSET('Solar Power Plant Data'!H522,-23,0,24,1)))
</f>
        <v>27987.625</v>
      </c>
      <c r="H500" s="21">
        <f>'Solar Power Plant Data'!H499/MAX('Solar Power Plant Data'!E499,0.0001)
</f>
        <v>0</v>
      </c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</row>
    <row r="501">
      <c r="A501" s="21">
        <f>HOUR('Solar Power Plant Data'!A500)</f>
        <v>2</v>
      </c>
      <c r="B501" s="21">
        <f>DAY('Solar Power Plant Data'!A500)</f>
        <v>9</v>
      </c>
      <c r="C501" s="21">
        <f>MONTH('Solar Power Plant Data'!A500)</f>
        <v>8</v>
      </c>
      <c r="D501" s="21" t="str">
        <f>TEXT('Solar Power Plant Data'!A500,"ddd")</f>
        <v>Wed</v>
      </c>
      <c r="E501" s="21">
        <f t="shared" si="1"/>
        <v>0</v>
      </c>
      <c r="F501" s="19">
        <f t="array" ref="F501">IF(ROW()&lt;25,"",INDEX('Solar Power Plant Data'!H:H,ROW()-1))</f>
        <v>0</v>
      </c>
      <c r="G501" s="19">
        <f>IF(ROW()&lt;25,"",AVERAGE(OFFSET('Solar Power Plant Data'!H523,-23,0,24,1)))
</f>
        <v>27987.625</v>
      </c>
      <c r="H501" s="21">
        <f>'Solar Power Plant Data'!H500/MAX('Solar Power Plant Data'!E500,0.0001)
</f>
        <v>0</v>
      </c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</row>
    <row r="502">
      <c r="A502" s="21">
        <f>HOUR('Solar Power Plant Data'!A501)</f>
        <v>2</v>
      </c>
      <c r="B502" s="21">
        <f>DAY('Solar Power Plant Data'!A501)</f>
        <v>10</v>
      </c>
      <c r="C502" s="21">
        <f>MONTH('Solar Power Plant Data'!A501)</f>
        <v>8</v>
      </c>
      <c r="D502" s="21" t="str">
        <f>TEXT('Solar Power Plant Data'!A501,"ddd")</f>
        <v>Thu</v>
      </c>
      <c r="E502" s="21">
        <f t="shared" si="1"/>
        <v>0</v>
      </c>
      <c r="F502" s="19">
        <f t="array" ref="F502">IF(ROW()&lt;25,"",INDEX('Solar Power Plant Data'!H:H,ROW()-1))</f>
        <v>0</v>
      </c>
      <c r="G502" s="19">
        <f>IF(ROW()&lt;25,"",AVERAGE(OFFSET('Solar Power Plant Data'!H524,-23,0,24,1)))
</f>
        <v>27987.625</v>
      </c>
      <c r="H502" s="21">
        <f>'Solar Power Plant Data'!H501/MAX('Solar Power Plant Data'!E501,0.0001)
</f>
        <v>0</v>
      </c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</row>
    <row r="503">
      <c r="A503" s="21">
        <f>HOUR('Solar Power Plant Data'!A502)</f>
        <v>2</v>
      </c>
      <c r="B503" s="21">
        <f>DAY('Solar Power Plant Data'!A502)</f>
        <v>11</v>
      </c>
      <c r="C503" s="21">
        <f>MONTH('Solar Power Plant Data'!A502)</f>
        <v>8</v>
      </c>
      <c r="D503" s="21" t="str">
        <f>TEXT('Solar Power Plant Data'!A502,"ddd")</f>
        <v>Fri</v>
      </c>
      <c r="E503" s="21">
        <f t="shared" si="1"/>
        <v>0</v>
      </c>
      <c r="F503" s="19">
        <f t="array" ref="F503">IF(ROW()&lt;25,"",INDEX('Solar Power Plant Data'!H:H,ROW()-1))</f>
        <v>0</v>
      </c>
      <c r="G503" s="19">
        <f>IF(ROW()&lt;25,"",AVERAGE(OFFSET('Solar Power Plant Data'!H525,-23,0,24,1)))
</f>
        <v>27987.625</v>
      </c>
      <c r="H503" s="21">
        <f>'Solar Power Plant Data'!H502/MAX('Solar Power Plant Data'!E502,0.0001)
</f>
        <v>0</v>
      </c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</row>
    <row r="504">
      <c r="A504" s="21">
        <f>HOUR('Solar Power Plant Data'!A503)</f>
        <v>2</v>
      </c>
      <c r="B504" s="21">
        <f>DAY('Solar Power Plant Data'!A503)</f>
        <v>12</v>
      </c>
      <c r="C504" s="21">
        <f>MONTH('Solar Power Plant Data'!A503)</f>
        <v>8</v>
      </c>
      <c r="D504" s="21" t="str">
        <f>TEXT('Solar Power Plant Data'!A503,"ddd")</f>
        <v>Sat</v>
      </c>
      <c r="E504" s="21">
        <f t="shared" si="1"/>
        <v>1</v>
      </c>
      <c r="F504" s="19">
        <f t="array" ref="F504">IF(ROW()&lt;25,"",INDEX('Solar Power Plant Data'!H:H,ROW()-1))</f>
        <v>0</v>
      </c>
      <c r="G504" s="19">
        <f>IF(ROW()&lt;25,"",AVERAGE(OFFSET('Solar Power Plant Data'!H526,-23,0,24,1)))
</f>
        <v>27987.625</v>
      </c>
      <c r="H504" s="21">
        <f>'Solar Power Plant Data'!H503/MAX('Solar Power Plant Data'!E503,0.0001)
</f>
        <v>0</v>
      </c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</row>
    <row r="505">
      <c r="A505" s="21">
        <f>HOUR('Solar Power Plant Data'!A504)</f>
        <v>2</v>
      </c>
      <c r="B505" s="21">
        <f>DAY('Solar Power Plant Data'!A504)</f>
        <v>13</v>
      </c>
      <c r="C505" s="21">
        <f>MONTH('Solar Power Plant Data'!A504)</f>
        <v>8</v>
      </c>
      <c r="D505" s="21" t="str">
        <f>TEXT('Solar Power Plant Data'!A504,"ddd")</f>
        <v>Sun</v>
      </c>
      <c r="E505" s="21">
        <f t="shared" si="1"/>
        <v>1</v>
      </c>
      <c r="F505" s="19">
        <f t="array" ref="F505">IF(ROW()&lt;25,"",INDEX('Solar Power Plant Data'!H:H,ROW()-1))</f>
        <v>0</v>
      </c>
      <c r="G505" s="19">
        <f>IF(ROW()&lt;25,"",AVERAGE(OFFSET('Solar Power Plant Data'!H527,-23,0,24,1)))
</f>
        <v>27987.625</v>
      </c>
      <c r="H505" s="21">
        <f>'Solar Power Plant Data'!H504/MAX('Solar Power Plant Data'!E504,0.0001)
</f>
        <v>0</v>
      </c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</row>
    <row r="506">
      <c r="A506" s="21">
        <f>HOUR('Solar Power Plant Data'!A505)</f>
        <v>2</v>
      </c>
      <c r="B506" s="21">
        <f>DAY('Solar Power Plant Data'!A505)</f>
        <v>14</v>
      </c>
      <c r="C506" s="21">
        <f>MONTH('Solar Power Plant Data'!A505)</f>
        <v>8</v>
      </c>
      <c r="D506" s="21" t="str">
        <f>TEXT('Solar Power Plant Data'!A505,"ddd")</f>
        <v>Mon</v>
      </c>
      <c r="E506" s="21">
        <f t="shared" si="1"/>
        <v>0</v>
      </c>
      <c r="F506" s="19">
        <f t="array" ref="F506">IF(ROW()&lt;25,"",INDEX('Solar Power Plant Data'!H:H,ROW()-1))</f>
        <v>0</v>
      </c>
      <c r="G506" s="19">
        <f>IF(ROW()&lt;25,"",AVERAGE(OFFSET('Solar Power Plant Data'!H528,-23,0,24,1)))
</f>
        <v>27987.625</v>
      </c>
      <c r="H506" s="21">
        <f>'Solar Power Plant Data'!H505/MAX('Solar Power Plant Data'!E505,0.0001)
</f>
        <v>0</v>
      </c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</row>
    <row r="507">
      <c r="A507" s="21">
        <f>HOUR('Solar Power Plant Data'!A506)</f>
        <v>2</v>
      </c>
      <c r="B507" s="21">
        <f>DAY('Solar Power Plant Data'!A506)</f>
        <v>15</v>
      </c>
      <c r="C507" s="21">
        <f>MONTH('Solar Power Plant Data'!A506)</f>
        <v>8</v>
      </c>
      <c r="D507" s="21" t="str">
        <f>TEXT('Solar Power Plant Data'!A506,"ddd")</f>
        <v>Tue</v>
      </c>
      <c r="E507" s="21">
        <f t="shared" si="1"/>
        <v>0</v>
      </c>
      <c r="F507" s="19">
        <f t="array" ref="F507">IF(ROW()&lt;25,"",INDEX('Solar Power Plant Data'!H:H,ROW()-1))</f>
        <v>0</v>
      </c>
      <c r="G507" s="19">
        <f>IF(ROW()&lt;25,"",AVERAGE(OFFSET('Solar Power Plant Data'!H529,-23,0,24,1)))
</f>
        <v>27987.625</v>
      </c>
      <c r="H507" s="21">
        <f>'Solar Power Plant Data'!H506/MAX('Solar Power Plant Data'!E506,0.0001)
</f>
        <v>0</v>
      </c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</row>
    <row r="508">
      <c r="A508" s="21">
        <f>HOUR('Solar Power Plant Data'!A507)</f>
        <v>2</v>
      </c>
      <c r="B508" s="21">
        <f>DAY('Solar Power Plant Data'!A507)</f>
        <v>16</v>
      </c>
      <c r="C508" s="21">
        <f>MONTH('Solar Power Plant Data'!A507)</f>
        <v>8</v>
      </c>
      <c r="D508" s="21" t="str">
        <f>TEXT('Solar Power Plant Data'!A507,"ddd")</f>
        <v>Wed</v>
      </c>
      <c r="E508" s="21">
        <f t="shared" si="1"/>
        <v>0</v>
      </c>
      <c r="F508" s="19">
        <f t="array" ref="F508">IF(ROW()&lt;25,"",INDEX('Solar Power Plant Data'!H:H,ROW()-1))</f>
        <v>0</v>
      </c>
      <c r="G508" s="19">
        <f>IF(ROW()&lt;25,"",AVERAGE(OFFSET('Solar Power Plant Data'!H530,-23,0,24,1)))
</f>
        <v>27987.625</v>
      </c>
      <c r="H508" s="21">
        <f>'Solar Power Plant Data'!H507/MAX('Solar Power Plant Data'!E507,0.0001)
</f>
        <v>0</v>
      </c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</row>
    <row r="509">
      <c r="A509" s="21">
        <f>HOUR('Solar Power Plant Data'!A508)</f>
        <v>2</v>
      </c>
      <c r="B509" s="21">
        <f>DAY('Solar Power Plant Data'!A508)</f>
        <v>17</v>
      </c>
      <c r="C509" s="21">
        <f>MONTH('Solar Power Plant Data'!A508)</f>
        <v>8</v>
      </c>
      <c r="D509" s="21" t="str">
        <f>TEXT('Solar Power Plant Data'!A508,"ddd")</f>
        <v>Thu</v>
      </c>
      <c r="E509" s="21">
        <f t="shared" si="1"/>
        <v>0</v>
      </c>
      <c r="F509" s="19">
        <f t="array" ref="F509">IF(ROW()&lt;25,"",INDEX('Solar Power Plant Data'!H:H,ROW()-1))</f>
        <v>0</v>
      </c>
      <c r="G509" s="19">
        <f>IF(ROW()&lt;25,"",AVERAGE(OFFSET('Solar Power Plant Data'!H531,-23,0,24,1)))
</f>
        <v>27987.625</v>
      </c>
      <c r="H509" s="21">
        <f>'Solar Power Plant Data'!H508/MAX('Solar Power Plant Data'!E508,0.0001)
</f>
        <v>0</v>
      </c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</row>
    <row r="510">
      <c r="A510" s="21">
        <f>HOUR('Solar Power Plant Data'!A509)</f>
        <v>2</v>
      </c>
      <c r="B510" s="21">
        <f>DAY('Solar Power Plant Data'!A509)</f>
        <v>18</v>
      </c>
      <c r="C510" s="21">
        <f>MONTH('Solar Power Plant Data'!A509)</f>
        <v>8</v>
      </c>
      <c r="D510" s="21" t="str">
        <f>TEXT('Solar Power Plant Data'!A509,"ddd")</f>
        <v>Fri</v>
      </c>
      <c r="E510" s="21">
        <f t="shared" si="1"/>
        <v>0</v>
      </c>
      <c r="F510" s="19">
        <f t="array" ref="F510">IF(ROW()&lt;25,"",INDEX('Solar Power Plant Data'!H:H,ROW()-1))</f>
        <v>0</v>
      </c>
      <c r="G510" s="19">
        <f>IF(ROW()&lt;25,"",AVERAGE(OFFSET('Solar Power Plant Data'!H532,-23,0,24,1)))
</f>
        <v>27987.625</v>
      </c>
      <c r="H510" s="21">
        <f>'Solar Power Plant Data'!H509/MAX('Solar Power Plant Data'!E509,0.0001)
</f>
        <v>0</v>
      </c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</row>
    <row r="511">
      <c r="A511" s="21">
        <f>HOUR('Solar Power Plant Data'!A510)</f>
        <v>2</v>
      </c>
      <c r="B511" s="21">
        <f>DAY('Solar Power Plant Data'!A510)</f>
        <v>19</v>
      </c>
      <c r="C511" s="21">
        <f>MONTH('Solar Power Plant Data'!A510)</f>
        <v>8</v>
      </c>
      <c r="D511" s="21" t="str">
        <f>TEXT('Solar Power Plant Data'!A510,"ddd")</f>
        <v>Sat</v>
      </c>
      <c r="E511" s="21">
        <f t="shared" si="1"/>
        <v>1</v>
      </c>
      <c r="F511" s="19">
        <f t="array" ref="F511">IF(ROW()&lt;25,"",INDEX('Solar Power Plant Data'!H:H,ROW()-1))</f>
        <v>0</v>
      </c>
      <c r="G511" s="19">
        <f>IF(ROW()&lt;25,"",AVERAGE(OFFSET('Solar Power Plant Data'!H533,-23,0,24,1)))
</f>
        <v>27987.625</v>
      </c>
      <c r="H511" s="21">
        <f>'Solar Power Plant Data'!H510/MAX('Solar Power Plant Data'!E510,0.0001)
</f>
        <v>0</v>
      </c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</row>
    <row r="512">
      <c r="A512" s="21">
        <f>HOUR('Solar Power Plant Data'!A511)</f>
        <v>2</v>
      </c>
      <c r="B512" s="21">
        <f>DAY('Solar Power Plant Data'!A511)</f>
        <v>20</v>
      </c>
      <c r="C512" s="21">
        <f>MONTH('Solar Power Plant Data'!A511)</f>
        <v>8</v>
      </c>
      <c r="D512" s="21" t="str">
        <f>TEXT('Solar Power Plant Data'!A511,"ddd")</f>
        <v>Sun</v>
      </c>
      <c r="E512" s="21">
        <f t="shared" si="1"/>
        <v>1</v>
      </c>
      <c r="F512" s="19">
        <f t="array" ref="F512">IF(ROW()&lt;25,"",INDEX('Solar Power Plant Data'!H:H,ROW()-1))</f>
        <v>0</v>
      </c>
      <c r="G512" s="19">
        <f>IF(ROW()&lt;25,"",AVERAGE(OFFSET('Solar Power Plant Data'!H534,-23,0,24,1)))
</f>
        <v>27987.625</v>
      </c>
      <c r="H512" s="21">
        <f>'Solar Power Plant Data'!H511/MAX('Solar Power Plant Data'!E511,0.0001)
</f>
        <v>0</v>
      </c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</row>
    <row r="513">
      <c r="A513" s="21">
        <f>HOUR('Solar Power Plant Data'!A512)</f>
        <v>2</v>
      </c>
      <c r="B513" s="21">
        <f>DAY('Solar Power Plant Data'!A512)</f>
        <v>21</v>
      </c>
      <c r="C513" s="21">
        <f>MONTH('Solar Power Plant Data'!A512)</f>
        <v>8</v>
      </c>
      <c r="D513" s="21" t="str">
        <f>TEXT('Solar Power Plant Data'!A512,"ddd")</f>
        <v>Mon</v>
      </c>
      <c r="E513" s="21">
        <f t="shared" si="1"/>
        <v>0</v>
      </c>
      <c r="F513" s="19">
        <f t="array" ref="F513">IF(ROW()&lt;25,"",INDEX('Solar Power Plant Data'!H:H,ROW()-1))</f>
        <v>0</v>
      </c>
      <c r="G513" s="19">
        <f>IF(ROW()&lt;25,"",AVERAGE(OFFSET('Solar Power Plant Data'!H535,-23,0,24,1)))
</f>
        <v>27987.625</v>
      </c>
      <c r="H513" s="21">
        <f>'Solar Power Plant Data'!H512/MAX('Solar Power Plant Data'!E512,0.0001)
</f>
        <v>0</v>
      </c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</row>
    <row r="514">
      <c r="A514" s="21">
        <f>HOUR('Solar Power Plant Data'!A513)</f>
        <v>2</v>
      </c>
      <c r="B514" s="21">
        <f>DAY('Solar Power Plant Data'!A513)</f>
        <v>22</v>
      </c>
      <c r="C514" s="21">
        <f>MONTH('Solar Power Plant Data'!A513)</f>
        <v>8</v>
      </c>
      <c r="D514" s="21" t="str">
        <f>TEXT('Solar Power Plant Data'!A513,"ddd")</f>
        <v>Tue</v>
      </c>
      <c r="E514" s="21">
        <f t="shared" si="1"/>
        <v>0</v>
      </c>
      <c r="F514" s="19">
        <f t="array" ref="F514">IF(ROW()&lt;25,"",INDEX('Solar Power Plant Data'!H:H,ROW()-1))</f>
        <v>0</v>
      </c>
      <c r="G514" s="19">
        <f>IF(ROW()&lt;25,"",AVERAGE(OFFSET('Solar Power Plant Data'!H536,-23,0,24,1)))
</f>
        <v>27987.625</v>
      </c>
      <c r="H514" s="21">
        <f>'Solar Power Plant Data'!H513/MAX('Solar Power Plant Data'!E513,0.0001)
</f>
        <v>0</v>
      </c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</row>
    <row r="515">
      <c r="A515" s="21">
        <f>HOUR('Solar Power Plant Data'!A514)</f>
        <v>2</v>
      </c>
      <c r="B515" s="21">
        <f>DAY('Solar Power Plant Data'!A514)</f>
        <v>23</v>
      </c>
      <c r="C515" s="21">
        <f>MONTH('Solar Power Plant Data'!A514)</f>
        <v>8</v>
      </c>
      <c r="D515" s="21" t="str">
        <f>TEXT('Solar Power Plant Data'!A514,"ddd")</f>
        <v>Wed</v>
      </c>
      <c r="E515" s="21">
        <f t="shared" si="1"/>
        <v>0</v>
      </c>
      <c r="F515" s="19">
        <f t="array" ref="F515">IF(ROW()&lt;25,"",INDEX('Solar Power Plant Data'!H:H,ROW()-1))</f>
        <v>0</v>
      </c>
      <c r="G515" s="19">
        <f>IF(ROW()&lt;25,"",AVERAGE(OFFSET('Solar Power Plant Data'!H537,-23,0,24,1)))
</f>
        <v>27987.625</v>
      </c>
      <c r="H515" s="21">
        <f>'Solar Power Plant Data'!H514/MAX('Solar Power Plant Data'!E514,0.0001)
</f>
        <v>0</v>
      </c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</row>
    <row r="516">
      <c r="A516" s="21">
        <f>HOUR('Solar Power Plant Data'!A515)</f>
        <v>2</v>
      </c>
      <c r="B516" s="21">
        <f>DAY('Solar Power Plant Data'!A515)</f>
        <v>24</v>
      </c>
      <c r="C516" s="21">
        <f>MONTH('Solar Power Plant Data'!A515)</f>
        <v>8</v>
      </c>
      <c r="D516" s="21" t="str">
        <f>TEXT('Solar Power Plant Data'!A515,"ddd")</f>
        <v>Thu</v>
      </c>
      <c r="E516" s="21">
        <f t="shared" si="1"/>
        <v>0</v>
      </c>
      <c r="F516" s="19">
        <f t="array" ref="F516">IF(ROW()&lt;25,"",INDEX('Solar Power Plant Data'!H:H,ROW()-1))</f>
        <v>0</v>
      </c>
      <c r="G516" s="19">
        <f>IF(ROW()&lt;25,"",AVERAGE(OFFSET('Solar Power Plant Data'!H538,-23,0,24,1)))
</f>
        <v>27987.625</v>
      </c>
      <c r="H516" s="21">
        <f>'Solar Power Plant Data'!H515/MAX('Solar Power Plant Data'!E515,0.0001)
</f>
        <v>0</v>
      </c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</row>
    <row r="517">
      <c r="A517" s="21">
        <f>HOUR('Solar Power Plant Data'!A516)</f>
        <v>2</v>
      </c>
      <c r="B517" s="21">
        <f>DAY('Solar Power Plant Data'!A516)</f>
        <v>25</v>
      </c>
      <c r="C517" s="21">
        <f>MONTH('Solar Power Plant Data'!A516)</f>
        <v>8</v>
      </c>
      <c r="D517" s="21" t="str">
        <f>TEXT('Solar Power Plant Data'!A516,"ddd")</f>
        <v>Fri</v>
      </c>
      <c r="E517" s="21">
        <f t="shared" si="1"/>
        <v>0</v>
      </c>
      <c r="F517" s="19">
        <f t="array" ref="F517">IF(ROW()&lt;25,"",INDEX('Solar Power Plant Data'!H:H,ROW()-1))</f>
        <v>0</v>
      </c>
      <c r="G517" s="19">
        <f>IF(ROW()&lt;25,"",AVERAGE(OFFSET('Solar Power Plant Data'!H539,-23,0,24,1)))
</f>
        <v>27987.625</v>
      </c>
      <c r="H517" s="21">
        <f>'Solar Power Plant Data'!H516/MAX('Solar Power Plant Data'!E516,0.0001)
</f>
        <v>0</v>
      </c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</row>
    <row r="518">
      <c r="A518" s="21">
        <f>HOUR('Solar Power Plant Data'!A517)</f>
        <v>2</v>
      </c>
      <c r="B518" s="21">
        <f>DAY('Solar Power Plant Data'!A517)</f>
        <v>26</v>
      </c>
      <c r="C518" s="21">
        <f>MONTH('Solar Power Plant Data'!A517)</f>
        <v>8</v>
      </c>
      <c r="D518" s="21" t="str">
        <f>TEXT('Solar Power Plant Data'!A517,"ddd")</f>
        <v>Sat</v>
      </c>
      <c r="E518" s="21">
        <f t="shared" si="1"/>
        <v>1</v>
      </c>
      <c r="F518" s="19">
        <f t="array" ref="F518">IF(ROW()&lt;25,"",INDEX('Solar Power Plant Data'!H:H,ROW()-1))</f>
        <v>0</v>
      </c>
      <c r="G518" s="19">
        <f>IF(ROW()&lt;25,"",AVERAGE(OFFSET('Solar Power Plant Data'!H540,-23,0,24,1)))
</f>
        <v>27989.125</v>
      </c>
      <c r="H518" s="21">
        <f>'Solar Power Plant Data'!H517/MAX('Solar Power Plant Data'!E517,0.0001)
</f>
        <v>0</v>
      </c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</row>
    <row r="519">
      <c r="A519" s="21">
        <f>HOUR('Solar Power Plant Data'!A518)</f>
        <v>2</v>
      </c>
      <c r="B519" s="21">
        <f>DAY('Solar Power Plant Data'!A518)</f>
        <v>27</v>
      </c>
      <c r="C519" s="21">
        <f>MONTH('Solar Power Plant Data'!A518)</f>
        <v>8</v>
      </c>
      <c r="D519" s="21" t="str">
        <f>TEXT('Solar Power Plant Data'!A518,"ddd")</f>
        <v>Sun</v>
      </c>
      <c r="E519" s="21">
        <f t="shared" si="1"/>
        <v>1</v>
      </c>
      <c r="F519" s="19">
        <f t="array" ref="F519">IF(ROW()&lt;25,"",INDEX('Solar Power Plant Data'!H:H,ROW()-1))</f>
        <v>0</v>
      </c>
      <c r="G519" s="19">
        <f>IF(ROW()&lt;25,"",AVERAGE(OFFSET('Solar Power Plant Data'!H541,-23,0,24,1)))
</f>
        <v>166669.6667</v>
      </c>
      <c r="H519" s="21">
        <f>'Solar Power Plant Data'!H518/MAX('Solar Power Plant Data'!E518,0.0001)
</f>
        <v>0</v>
      </c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</row>
    <row r="520">
      <c r="A520" s="21">
        <f>HOUR('Solar Power Plant Data'!A519)</f>
        <v>2</v>
      </c>
      <c r="B520" s="21">
        <f>DAY('Solar Power Plant Data'!A519)</f>
        <v>28</v>
      </c>
      <c r="C520" s="21">
        <f>MONTH('Solar Power Plant Data'!A519)</f>
        <v>8</v>
      </c>
      <c r="D520" s="21" t="str">
        <f>TEXT('Solar Power Plant Data'!A519,"ddd")</f>
        <v>Mon</v>
      </c>
      <c r="E520" s="21">
        <f t="shared" si="1"/>
        <v>0</v>
      </c>
      <c r="F520" s="19">
        <f t="array" ref="F520">IF(ROW()&lt;25,"",INDEX('Solar Power Plant Data'!H:H,ROW()-1))</f>
        <v>0</v>
      </c>
      <c r="G520" s="19">
        <f>IF(ROW()&lt;25,"",AVERAGE(OFFSET('Solar Power Plant Data'!H542,-23,0,24,1)))
</f>
        <v>453405.75</v>
      </c>
      <c r="H520" s="21">
        <f>'Solar Power Plant Data'!H519/MAX('Solar Power Plant Data'!E519,0.0001)
</f>
        <v>0</v>
      </c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</row>
    <row r="521">
      <c r="A521" s="21">
        <f>HOUR('Solar Power Plant Data'!A520)</f>
        <v>2</v>
      </c>
      <c r="B521" s="21">
        <f>DAY('Solar Power Plant Data'!A520)</f>
        <v>29</v>
      </c>
      <c r="C521" s="21">
        <f>MONTH('Solar Power Plant Data'!A520)</f>
        <v>8</v>
      </c>
      <c r="D521" s="21" t="str">
        <f>TEXT('Solar Power Plant Data'!A520,"ddd")</f>
        <v>Tue</v>
      </c>
      <c r="E521" s="21">
        <f t="shared" si="1"/>
        <v>0</v>
      </c>
      <c r="F521" s="19">
        <f t="array" ref="F521">IF(ROW()&lt;25,"",INDEX('Solar Power Plant Data'!H:H,ROW()-1))</f>
        <v>671666</v>
      </c>
      <c r="G521" s="19">
        <f>IF(ROW()&lt;25,"",AVERAGE(OFFSET('Solar Power Plant Data'!H543,-23,0,24,1)))
</f>
        <v>864100.2083</v>
      </c>
      <c r="H521" s="21">
        <f>'Solar Power Plant Data'!H520/MAX('Solar Power Plant Data'!E520,0.0001)
</f>
        <v>6716660000</v>
      </c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</row>
    <row r="522">
      <c r="A522" s="21">
        <f>HOUR('Solar Power Plant Data'!A521)</f>
        <v>2</v>
      </c>
      <c r="B522" s="21">
        <f>DAY('Solar Power Plant Data'!A521)</f>
        <v>30</v>
      </c>
      <c r="C522" s="21">
        <f>MONTH('Solar Power Plant Data'!A521)</f>
        <v>8</v>
      </c>
      <c r="D522" s="21" t="str">
        <f>TEXT('Solar Power Plant Data'!A521,"ddd")</f>
        <v>Wed</v>
      </c>
      <c r="E522" s="21">
        <f t="shared" si="1"/>
        <v>0</v>
      </c>
      <c r="F522" s="19">
        <f t="array" ref="F522">IF(ROW()&lt;25,"",INDEX('Solar Power Plant Data'!H:H,ROW()-1))</f>
        <v>37</v>
      </c>
      <c r="G522" s="19">
        <f>IF(ROW()&lt;25,"",AVERAGE(OFFSET('Solar Power Plant Data'!H544,-23,0,24,1)))
</f>
        <v>836122.625</v>
      </c>
      <c r="H522" s="21">
        <f>'Solar Power Plant Data'!H521/MAX('Solar Power Plant Data'!E521,0.0001)
</f>
        <v>370000</v>
      </c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</row>
    <row r="523">
      <c r="A523" s="21">
        <f>HOUR('Solar Power Plant Data'!A522)</f>
        <v>2</v>
      </c>
      <c r="B523" s="21">
        <f>DAY('Solar Power Plant Data'!A522)</f>
        <v>31</v>
      </c>
      <c r="C523" s="21">
        <f>MONTH('Solar Power Plant Data'!A522)</f>
        <v>8</v>
      </c>
      <c r="D523" s="21" t="str">
        <f>TEXT('Solar Power Plant Data'!A522,"ddd")</f>
        <v>Thu</v>
      </c>
      <c r="E523" s="21">
        <f t="shared" si="1"/>
        <v>0</v>
      </c>
      <c r="F523" s="19">
        <f t="array" ref="F523">IF(ROW()&lt;25,"",INDEX('Solar Power Plant Data'!H:H,ROW()-1))</f>
        <v>0</v>
      </c>
      <c r="G523" s="19">
        <f>IF(ROW()&lt;25,"",AVERAGE(OFFSET('Solar Power Plant Data'!H545,-23,0,24,1)))
</f>
        <v>836128.0833</v>
      </c>
      <c r="H523" s="21">
        <f>'Solar Power Plant Data'!H522/MAX('Solar Power Plant Data'!E522,0.0001)
</f>
        <v>0</v>
      </c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</row>
    <row r="524">
      <c r="A524" s="21">
        <f>HOUR('Solar Power Plant Data'!A523)</f>
        <v>2</v>
      </c>
      <c r="B524" s="21">
        <f>DAY('Solar Power Plant Data'!A523)</f>
        <v>1</v>
      </c>
      <c r="C524" s="21">
        <f>MONTH('Solar Power Plant Data'!A523)</f>
        <v>9</v>
      </c>
      <c r="D524" s="21" t="str">
        <f>TEXT('Solar Power Plant Data'!A523,"ddd")</f>
        <v>Fri</v>
      </c>
      <c r="E524" s="21">
        <f t="shared" si="1"/>
        <v>0</v>
      </c>
      <c r="F524" s="19">
        <f t="array" ref="F524">IF(ROW()&lt;25,"",INDEX('Solar Power Plant Data'!H:H,ROW()-1))</f>
        <v>0</v>
      </c>
      <c r="G524" s="19">
        <f>IF(ROW()&lt;25,"",AVERAGE(OFFSET('Solar Power Plant Data'!H546,-23,0,24,1)))
</f>
        <v>845155.875</v>
      </c>
      <c r="H524" s="21">
        <f>'Solar Power Plant Data'!H523/MAX('Solar Power Plant Data'!E523,0.0001)
</f>
        <v>0</v>
      </c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</row>
    <row r="525">
      <c r="A525" s="21">
        <f>HOUR('Solar Power Plant Data'!A524)</f>
        <v>2</v>
      </c>
      <c r="B525" s="21">
        <f>DAY('Solar Power Plant Data'!A524)</f>
        <v>2</v>
      </c>
      <c r="C525" s="21">
        <f>MONTH('Solar Power Plant Data'!A524)</f>
        <v>9</v>
      </c>
      <c r="D525" s="21" t="str">
        <f>TEXT('Solar Power Plant Data'!A524,"ddd")</f>
        <v>Sat</v>
      </c>
      <c r="E525" s="21">
        <f t="shared" si="1"/>
        <v>1</v>
      </c>
      <c r="F525" s="19">
        <f t="array" ref="F525">IF(ROW()&lt;25,"",INDEX('Solar Power Plant Data'!H:H,ROW()-1))</f>
        <v>0</v>
      </c>
      <c r="G525" s="19">
        <f>IF(ROW()&lt;25,"",AVERAGE(OFFSET('Solar Power Plant Data'!H547,-23,0,24,1)))
</f>
        <v>845155.875</v>
      </c>
      <c r="H525" s="21">
        <f>'Solar Power Plant Data'!H524/MAX('Solar Power Plant Data'!E524,0.0001)
</f>
        <v>0</v>
      </c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</row>
    <row r="526">
      <c r="A526" s="21">
        <f>HOUR('Solar Power Plant Data'!A525)</f>
        <v>2</v>
      </c>
      <c r="B526" s="21">
        <f>DAY('Solar Power Plant Data'!A525)</f>
        <v>3</v>
      </c>
      <c r="C526" s="21">
        <f>MONTH('Solar Power Plant Data'!A525)</f>
        <v>9</v>
      </c>
      <c r="D526" s="21" t="str">
        <f>TEXT('Solar Power Plant Data'!A525,"ddd")</f>
        <v>Sun</v>
      </c>
      <c r="E526" s="21">
        <f t="shared" si="1"/>
        <v>1</v>
      </c>
      <c r="F526" s="19">
        <f t="array" ref="F526">IF(ROW()&lt;25,"",INDEX('Solar Power Plant Data'!H:H,ROW()-1))</f>
        <v>0</v>
      </c>
      <c r="G526" s="19">
        <f>IF(ROW()&lt;25,"",AVERAGE(OFFSET('Solar Power Plant Data'!H548,-23,0,24,1)))
</f>
        <v>845155.875</v>
      </c>
      <c r="H526" s="21">
        <f>'Solar Power Plant Data'!H525/MAX('Solar Power Plant Data'!E525,0.0001)
</f>
        <v>0</v>
      </c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</row>
    <row r="527">
      <c r="A527" s="21">
        <f>HOUR('Solar Power Plant Data'!A526)</f>
        <v>2</v>
      </c>
      <c r="B527" s="21">
        <f>DAY('Solar Power Plant Data'!A526)</f>
        <v>4</v>
      </c>
      <c r="C527" s="21">
        <f>MONTH('Solar Power Plant Data'!A526)</f>
        <v>9</v>
      </c>
      <c r="D527" s="21" t="str">
        <f>TEXT('Solar Power Plant Data'!A526,"ddd")</f>
        <v>Mon</v>
      </c>
      <c r="E527" s="21">
        <f t="shared" si="1"/>
        <v>0</v>
      </c>
      <c r="F527" s="19">
        <f t="array" ref="F527">IF(ROW()&lt;25,"",INDEX('Solar Power Plant Data'!H:H,ROW()-1))</f>
        <v>0</v>
      </c>
      <c r="G527" s="19">
        <f>IF(ROW()&lt;25,"",AVERAGE(OFFSET('Solar Power Plant Data'!H549,-23,0,24,1)))
</f>
        <v>845155.875</v>
      </c>
      <c r="H527" s="21">
        <f>'Solar Power Plant Data'!H526/MAX('Solar Power Plant Data'!E526,0.0001)
</f>
        <v>0</v>
      </c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</row>
    <row r="528">
      <c r="A528" s="21">
        <f>HOUR('Solar Power Plant Data'!A527)</f>
        <v>2</v>
      </c>
      <c r="B528" s="21">
        <f>DAY('Solar Power Plant Data'!A527)</f>
        <v>5</v>
      </c>
      <c r="C528" s="21">
        <f>MONTH('Solar Power Plant Data'!A527)</f>
        <v>9</v>
      </c>
      <c r="D528" s="21" t="str">
        <f>TEXT('Solar Power Plant Data'!A527,"ddd")</f>
        <v>Tue</v>
      </c>
      <c r="E528" s="21">
        <f t="shared" si="1"/>
        <v>0</v>
      </c>
      <c r="F528" s="19">
        <f t="array" ref="F528">IF(ROW()&lt;25,"",INDEX('Solar Power Plant Data'!H:H,ROW()-1))</f>
        <v>0</v>
      </c>
      <c r="G528" s="19">
        <f>IF(ROW()&lt;25,"",AVERAGE(OFFSET('Solar Power Plant Data'!H550,-23,0,24,1)))
</f>
        <v>845155.875</v>
      </c>
      <c r="H528" s="21">
        <f>'Solar Power Plant Data'!H527/MAX('Solar Power Plant Data'!E527,0.0001)
</f>
        <v>0</v>
      </c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</row>
    <row r="529">
      <c r="A529" s="21">
        <f>HOUR('Solar Power Plant Data'!A528)</f>
        <v>2</v>
      </c>
      <c r="B529" s="21">
        <f>DAY('Solar Power Plant Data'!A528)</f>
        <v>6</v>
      </c>
      <c r="C529" s="21">
        <f>MONTH('Solar Power Plant Data'!A528)</f>
        <v>9</v>
      </c>
      <c r="D529" s="21" t="str">
        <f>TEXT('Solar Power Plant Data'!A528,"ddd")</f>
        <v>Wed</v>
      </c>
      <c r="E529" s="21">
        <f t="shared" si="1"/>
        <v>0</v>
      </c>
      <c r="F529" s="19">
        <f t="array" ref="F529">IF(ROW()&lt;25,"",INDEX('Solar Power Plant Data'!H:H,ROW()-1))</f>
        <v>0</v>
      </c>
      <c r="G529" s="19">
        <f>IF(ROW()&lt;25,"",AVERAGE(OFFSET('Solar Power Plant Data'!H551,-23,0,24,1)))
</f>
        <v>845155.875</v>
      </c>
      <c r="H529" s="21">
        <f>'Solar Power Plant Data'!H528/MAX('Solar Power Plant Data'!E528,0.0001)
</f>
        <v>0</v>
      </c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</row>
    <row r="530">
      <c r="A530" s="21">
        <f>HOUR('Solar Power Plant Data'!A529)</f>
        <v>2</v>
      </c>
      <c r="B530" s="21">
        <f>DAY('Solar Power Plant Data'!A529)</f>
        <v>7</v>
      </c>
      <c r="C530" s="21">
        <f>MONTH('Solar Power Plant Data'!A529)</f>
        <v>9</v>
      </c>
      <c r="D530" s="21" t="str">
        <f>TEXT('Solar Power Plant Data'!A529,"ddd")</f>
        <v>Thu</v>
      </c>
      <c r="E530" s="21">
        <f t="shared" si="1"/>
        <v>0</v>
      </c>
      <c r="F530" s="19">
        <f t="array" ref="F530">IF(ROW()&lt;25,"",INDEX('Solar Power Plant Data'!H:H,ROW()-1))</f>
        <v>0</v>
      </c>
      <c r="G530" s="19">
        <f>IF(ROW()&lt;25,"",AVERAGE(OFFSET('Solar Power Plant Data'!H552,-23,0,24,1)))
</f>
        <v>845155.875</v>
      </c>
      <c r="H530" s="21">
        <f>'Solar Power Plant Data'!H529/MAX('Solar Power Plant Data'!E529,0.0001)
</f>
        <v>0</v>
      </c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</row>
    <row r="531">
      <c r="A531" s="21">
        <f>HOUR('Solar Power Plant Data'!A530)</f>
        <v>2</v>
      </c>
      <c r="B531" s="21">
        <f>DAY('Solar Power Plant Data'!A530)</f>
        <v>8</v>
      </c>
      <c r="C531" s="21">
        <f>MONTH('Solar Power Plant Data'!A530)</f>
        <v>9</v>
      </c>
      <c r="D531" s="21" t="str">
        <f>TEXT('Solar Power Plant Data'!A530,"ddd")</f>
        <v>Fri</v>
      </c>
      <c r="E531" s="21">
        <f t="shared" si="1"/>
        <v>0</v>
      </c>
      <c r="F531" s="19">
        <f t="array" ref="F531">IF(ROW()&lt;25,"",INDEX('Solar Power Plant Data'!H:H,ROW()-1))</f>
        <v>0</v>
      </c>
      <c r="G531" s="19">
        <f>IF(ROW()&lt;25,"",AVERAGE(OFFSET('Solar Power Plant Data'!H553,-23,0,24,1)))
</f>
        <v>845155.875</v>
      </c>
      <c r="H531" s="21">
        <f>'Solar Power Plant Data'!H530/MAX('Solar Power Plant Data'!E530,0.0001)
</f>
        <v>0</v>
      </c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</row>
    <row r="532">
      <c r="A532" s="21">
        <f>HOUR('Solar Power Plant Data'!A531)</f>
        <v>2</v>
      </c>
      <c r="B532" s="21">
        <f>DAY('Solar Power Plant Data'!A531)</f>
        <v>9</v>
      </c>
      <c r="C532" s="21">
        <f>MONTH('Solar Power Plant Data'!A531)</f>
        <v>9</v>
      </c>
      <c r="D532" s="21" t="str">
        <f>TEXT('Solar Power Plant Data'!A531,"ddd")</f>
        <v>Sat</v>
      </c>
      <c r="E532" s="21">
        <f t="shared" si="1"/>
        <v>1</v>
      </c>
      <c r="F532" s="19">
        <f t="array" ref="F532">IF(ROW()&lt;25,"",INDEX('Solar Power Plant Data'!H:H,ROW()-1))</f>
        <v>0</v>
      </c>
      <c r="G532" s="19">
        <f>IF(ROW()&lt;25,"",AVERAGE(OFFSET('Solar Power Plant Data'!H554,-23,0,24,1)))
</f>
        <v>845155.875</v>
      </c>
      <c r="H532" s="21">
        <f>'Solar Power Plant Data'!H531/MAX('Solar Power Plant Data'!E531,0.0001)
</f>
        <v>0</v>
      </c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</row>
    <row r="533">
      <c r="A533" s="21">
        <f>HOUR('Solar Power Plant Data'!A532)</f>
        <v>2</v>
      </c>
      <c r="B533" s="21">
        <f>DAY('Solar Power Plant Data'!A532)</f>
        <v>10</v>
      </c>
      <c r="C533" s="21">
        <f>MONTH('Solar Power Plant Data'!A532)</f>
        <v>9</v>
      </c>
      <c r="D533" s="21" t="str">
        <f>TEXT('Solar Power Plant Data'!A532,"ddd")</f>
        <v>Sun</v>
      </c>
      <c r="E533" s="21">
        <f t="shared" si="1"/>
        <v>1</v>
      </c>
      <c r="F533" s="19">
        <f t="array" ref="F533">IF(ROW()&lt;25,"",INDEX('Solar Power Plant Data'!H:H,ROW()-1))</f>
        <v>0</v>
      </c>
      <c r="G533" s="19">
        <f>IF(ROW()&lt;25,"",AVERAGE(OFFSET('Solar Power Plant Data'!H555,-23,0,24,1)))
</f>
        <v>845155.875</v>
      </c>
      <c r="H533" s="21">
        <f>'Solar Power Plant Data'!H532/MAX('Solar Power Plant Data'!E532,0.0001)
</f>
        <v>0</v>
      </c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</row>
    <row r="534">
      <c r="A534" s="21">
        <f>HOUR('Solar Power Plant Data'!A533)</f>
        <v>2</v>
      </c>
      <c r="B534" s="21">
        <f>DAY('Solar Power Plant Data'!A533)</f>
        <v>11</v>
      </c>
      <c r="C534" s="21">
        <f>MONTH('Solar Power Plant Data'!A533)</f>
        <v>9</v>
      </c>
      <c r="D534" s="21" t="str">
        <f>TEXT('Solar Power Plant Data'!A533,"ddd")</f>
        <v>Mon</v>
      </c>
      <c r="E534" s="21">
        <f t="shared" si="1"/>
        <v>0</v>
      </c>
      <c r="F534" s="19">
        <f t="array" ref="F534">IF(ROW()&lt;25,"",INDEX('Solar Power Plant Data'!H:H,ROW()-1))</f>
        <v>0</v>
      </c>
      <c r="G534" s="19">
        <f>IF(ROW()&lt;25,"",AVERAGE(OFFSET('Solar Power Plant Data'!H556,-23,0,24,1)))
</f>
        <v>845155.875</v>
      </c>
      <c r="H534" s="21">
        <f>'Solar Power Plant Data'!H533/MAX('Solar Power Plant Data'!E533,0.0001)
</f>
        <v>0</v>
      </c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</row>
    <row r="535">
      <c r="A535" s="21">
        <f>HOUR('Solar Power Plant Data'!A534)</f>
        <v>2</v>
      </c>
      <c r="B535" s="21">
        <f>DAY('Solar Power Plant Data'!A534)</f>
        <v>12</v>
      </c>
      <c r="C535" s="21">
        <f>MONTH('Solar Power Plant Data'!A534)</f>
        <v>9</v>
      </c>
      <c r="D535" s="21" t="str">
        <f>TEXT('Solar Power Plant Data'!A534,"ddd")</f>
        <v>Tue</v>
      </c>
      <c r="E535" s="21">
        <f t="shared" si="1"/>
        <v>0</v>
      </c>
      <c r="F535" s="19">
        <f t="array" ref="F535">IF(ROW()&lt;25,"",INDEX('Solar Power Plant Data'!H:H,ROW()-1))</f>
        <v>0</v>
      </c>
      <c r="G535" s="19">
        <f>IF(ROW()&lt;25,"",AVERAGE(OFFSET('Solar Power Plant Data'!H557,-23,0,24,1)))
</f>
        <v>845155.875</v>
      </c>
      <c r="H535" s="21">
        <f>'Solar Power Plant Data'!H534/MAX('Solar Power Plant Data'!E534,0.0001)
</f>
        <v>0</v>
      </c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</row>
    <row r="536">
      <c r="A536" s="21">
        <f>HOUR('Solar Power Plant Data'!A535)</f>
        <v>2</v>
      </c>
      <c r="B536" s="21">
        <f>DAY('Solar Power Plant Data'!A535)</f>
        <v>13</v>
      </c>
      <c r="C536" s="21">
        <f>MONTH('Solar Power Plant Data'!A535)</f>
        <v>9</v>
      </c>
      <c r="D536" s="21" t="str">
        <f>TEXT('Solar Power Plant Data'!A535,"ddd")</f>
        <v>Wed</v>
      </c>
      <c r="E536" s="21">
        <f t="shared" si="1"/>
        <v>0</v>
      </c>
      <c r="F536" s="19">
        <f t="array" ref="F536">IF(ROW()&lt;25,"",INDEX('Solar Power Plant Data'!H:H,ROW()-1))</f>
        <v>0</v>
      </c>
      <c r="G536" s="19">
        <f>IF(ROW()&lt;25,"",AVERAGE(OFFSET('Solar Power Plant Data'!H558,-23,0,24,1)))
</f>
        <v>845155.875</v>
      </c>
      <c r="H536" s="21">
        <f>'Solar Power Plant Data'!H535/MAX('Solar Power Plant Data'!E535,0.0001)
</f>
        <v>0</v>
      </c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</row>
    <row r="537">
      <c r="A537" s="21">
        <f>HOUR('Solar Power Plant Data'!A536)</f>
        <v>2</v>
      </c>
      <c r="B537" s="21">
        <f>DAY('Solar Power Plant Data'!A536)</f>
        <v>14</v>
      </c>
      <c r="C537" s="21">
        <f>MONTH('Solar Power Plant Data'!A536)</f>
        <v>9</v>
      </c>
      <c r="D537" s="21" t="str">
        <f>TEXT('Solar Power Plant Data'!A536,"ddd")</f>
        <v>Thu</v>
      </c>
      <c r="E537" s="21">
        <f t="shared" si="1"/>
        <v>0</v>
      </c>
      <c r="F537" s="19">
        <f t="array" ref="F537">IF(ROW()&lt;25,"",INDEX('Solar Power Plant Data'!H:H,ROW()-1))</f>
        <v>0</v>
      </c>
      <c r="G537" s="19">
        <f>IF(ROW()&lt;25,"",AVERAGE(OFFSET('Solar Power Plant Data'!H559,-23,0,24,1)))
</f>
        <v>845155.875</v>
      </c>
      <c r="H537" s="21">
        <f>'Solar Power Plant Data'!H536/MAX('Solar Power Plant Data'!E536,0.0001)
</f>
        <v>0</v>
      </c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</row>
    <row r="538">
      <c r="A538" s="21">
        <f>HOUR('Solar Power Plant Data'!A537)</f>
        <v>2</v>
      </c>
      <c r="B538" s="21">
        <f>DAY('Solar Power Plant Data'!A537)</f>
        <v>15</v>
      </c>
      <c r="C538" s="21">
        <f>MONTH('Solar Power Plant Data'!A537)</f>
        <v>9</v>
      </c>
      <c r="D538" s="21" t="str">
        <f>TEXT('Solar Power Plant Data'!A537,"ddd")</f>
        <v>Fri</v>
      </c>
      <c r="E538" s="21">
        <f t="shared" si="1"/>
        <v>0</v>
      </c>
      <c r="F538" s="19">
        <f t="array" ref="F538">IF(ROW()&lt;25,"",INDEX('Solar Power Plant Data'!H:H,ROW()-1))</f>
        <v>0</v>
      </c>
      <c r="G538" s="19">
        <f>IF(ROW()&lt;25,"",AVERAGE(OFFSET('Solar Power Plant Data'!H560,-23,0,24,1)))
</f>
        <v>845155.875</v>
      </c>
      <c r="H538" s="21">
        <f>'Solar Power Plant Data'!H537/MAX('Solar Power Plant Data'!E537,0.0001)
</f>
        <v>0</v>
      </c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</row>
    <row r="539">
      <c r="A539" s="21">
        <f>HOUR('Solar Power Plant Data'!A538)</f>
        <v>2</v>
      </c>
      <c r="B539" s="21">
        <f>DAY('Solar Power Plant Data'!A538)</f>
        <v>16</v>
      </c>
      <c r="C539" s="21">
        <f>MONTH('Solar Power Plant Data'!A538)</f>
        <v>9</v>
      </c>
      <c r="D539" s="21" t="str">
        <f>TEXT('Solar Power Plant Data'!A538,"ddd")</f>
        <v>Sat</v>
      </c>
      <c r="E539" s="21">
        <f t="shared" si="1"/>
        <v>1</v>
      </c>
      <c r="F539" s="19">
        <f t="array" ref="F539">IF(ROW()&lt;25,"",INDEX('Solar Power Plant Data'!H:H,ROW()-1))</f>
        <v>0</v>
      </c>
      <c r="G539" s="19">
        <f>IF(ROW()&lt;25,"",AVERAGE(OFFSET('Solar Power Plant Data'!H561,-23,0,24,1)))
</f>
        <v>845155.875</v>
      </c>
      <c r="H539" s="21">
        <f>'Solar Power Plant Data'!H538/MAX('Solar Power Plant Data'!E538,0.0001)
</f>
        <v>0</v>
      </c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</row>
    <row r="540">
      <c r="A540" s="21">
        <f>HOUR('Solar Power Plant Data'!A539)</f>
        <v>2</v>
      </c>
      <c r="B540" s="21">
        <f>DAY('Solar Power Plant Data'!A539)</f>
        <v>17</v>
      </c>
      <c r="C540" s="21">
        <f>MONTH('Solar Power Plant Data'!A539)</f>
        <v>9</v>
      </c>
      <c r="D540" s="21" t="str">
        <f>TEXT('Solar Power Plant Data'!A539,"ddd")</f>
        <v>Sun</v>
      </c>
      <c r="E540" s="21">
        <f t="shared" si="1"/>
        <v>1</v>
      </c>
      <c r="F540" s="19">
        <f t="array" ref="F540">IF(ROW()&lt;25,"",INDEX('Solar Power Plant Data'!H:H,ROW()-1))</f>
        <v>0</v>
      </c>
      <c r="G540" s="19">
        <f>IF(ROW()&lt;25,"",AVERAGE(OFFSET('Solar Power Plant Data'!H562,-23,0,24,1)))
</f>
        <v>845155.875</v>
      </c>
      <c r="H540" s="21">
        <f>'Solar Power Plant Data'!H539/MAX('Solar Power Plant Data'!E539,0.0001)
</f>
        <v>0</v>
      </c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</row>
    <row r="541">
      <c r="A541" s="21">
        <f>HOUR('Solar Power Plant Data'!A540)</f>
        <v>2</v>
      </c>
      <c r="B541" s="21">
        <f>DAY('Solar Power Plant Data'!A540)</f>
        <v>18</v>
      </c>
      <c r="C541" s="21">
        <f>MONTH('Solar Power Plant Data'!A540)</f>
        <v>9</v>
      </c>
      <c r="D541" s="21" t="str">
        <f>TEXT('Solar Power Plant Data'!A540,"ddd")</f>
        <v>Mon</v>
      </c>
      <c r="E541" s="21">
        <f t="shared" si="1"/>
        <v>0</v>
      </c>
      <c r="F541" s="19">
        <f t="array" ref="F541">IF(ROW()&lt;25,"",INDEX('Solar Power Plant Data'!H:H,ROW()-1))</f>
        <v>36</v>
      </c>
      <c r="G541" s="19">
        <f>IF(ROW()&lt;25,"",AVERAGE(OFFSET('Solar Power Plant Data'!H563,-23,0,24,1)))
</f>
        <v>845155.875</v>
      </c>
      <c r="H541" s="21">
        <f>'Solar Power Plant Data'!H540/MAX('Solar Power Plant Data'!E540,0.0001)
</f>
        <v>360000</v>
      </c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</row>
    <row r="542">
      <c r="A542" s="21">
        <f>HOUR('Solar Power Plant Data'!A541)</f>
        <v>2</v>
      </c>
      <c r="B542" s="21">
        <f>DAY('Solar Power Plant Data'!A541)</f>
        <v>19</v>
      </c>
      <c r="C542" s="21">
        <f>MONTH('Solar Power Plant Data'!A541)</f>
        <v>9</v>
      </c>
      <c r="D542" s="21" t="str">
        <f>TEXT('Solar Power Plant Data'!A541,"ddd")</f>
        <v>Tue</v>
      </c>
      <c r="E542" s="21">
        <f t="shared" si="1"/>
        <v>0</v>
      </c>
      <c r="F542" s="19">
        <f t="array" ref="F542">IF(ROW()&lt;25,"",INDEX('Solar Power Plant Data'!H:H,ROW()-1))</f>
        <v>3328333</v>
      </c>
      <c r="G542" s="19">
        <f>IF(ROW()&lt;25,"",AVERAGE(OFFSET('Solar Power Plant Data'!H564,-23,0,24,1)))
</f>
        <v>845154.375</v>
      </c>
      <c r="H542" s="21">
        <f>'Solar Power Plant Data'!H541/MAX('Solar Power Plant Data'!E541,0.0001)
</f>
        <v>33283330000</v>
      </c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</row>
    <row r="543">
      <c r="A543" s="21">
        <f>HOUR('Solar Power Plant Data'!A542)</f>
        <v>2</v>
      </c>
      <c r="B543" s="21">
        <f>DAY('Solar Power Plant Data'!A542)</f>
        <v>20</v>
      </c>
      <c r="C543" s="21">
        <f>MONTH('Solar Power Plant Data'!A542)</f>
        <v>9</v>
      </c>
      <c r="D543" s="21" t="str">
        <f>TEXT('Solar Power Plant Data'!A542,"ddd")</f>
        <v>Wed</v>
      </c>
      <c r="E543" s="21">
        <f t="shared" si="1"/>
        <v>0</v>
      </c>
      <c r="F543" s="19">
        <f t="array" ref="F543">IF(ROW()&lt;25,"",INDEX('Solar Power Plant Data'!H:H,ROW()-1))</f>
        <v>6881666</v>
      </c>
      <c r="G543" s="19">
        <f>IF(ROW()&lt;25,"",AVERAGE(OFFSET('Solar Power Plant Data'!H565,-23,0,24,1)))
</f>
        <v>717446.0417</v>
      </c>
      <c r="H543" s="21">
        <f>'Solar Power Plant Data'!H542/MAX('Solar Power Plant Data'!E542,0.0001)
</f>
        <v>68816660000</v>
      </c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</row>
    <row r="544">
      <c r="A544" s="21">
        <f>HOUR('Solar Power Plant Data'!A543)</f>
        <v>2</v>
      </c>
      <c r="B544" s="21">
        <f>DAY('Solar Power Plant Data'!A543)</f>
        <v>21</v>
      </c>
      <c r="C544" s="21">
        <f>MONTH('Solar Power Plant Data'!A543)</f>
        <v>9</v>
      </c>
      <c r="D544" s="21" t="str">
        <f>TEXT('Solar Power Plant Data'!A543,"ddd")</f>
        <v>Thu</v>
      </c>
      <c r="E544" s="21">
        <f t="shared" si="1"/>
        <v>0</v>
      </c>
      <c r="F544" s="19">
        <f t="array" ref="F544">IF(ROW()&lt;25,"",INDEX('Solar Power Plant Data'!H:H,ROW()-1))</f>
        <v>9856667</v>
      </c>
      <c r="G544" s="19">
        <f>IF(ROW()&lt;25,"",AVERAGE(OFFSET('Solar Power Plant Data'!H566,-23,0,24,1)))
</f>
        <v>786196.0833</v>
      </c>
      <c r="H544" s="21">
        <f>'Solar Power Plant Data'!H543/MAX('Solar Power Plant Data'!E543,0.0001)
</f>
        <v>156455.0317</v>
      </c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</row>
    <row r="545">
      <c r="A545" s="21">
        <f>HOUR('Solar Power Plant Data'!A544)</f>
        <v>2</v>
      </c>
      <c r="B545" s="21">
        <f>DAY('Solar Power Plant Data'!A544)</f>
        <v>22</v>
      </c>
      <c r="C545" s="21">
        <f>MONTH('Solar Power Plant Data'!A544)</f>
        <v>9</v>
      </c>
      <c r="D545" s="21" t="str">
        <f>TEXT('Solar Power Plant Data'!A544,"ddd")</f>
        <v>Fri</v>
      </c>
      <c r="E545" s="21">
        <f t="shared" si="1"/>
        <v>0</v>
      </c>
      <c r="F545" s="19">
        <f t="array" ref="F545">IF(ROW()&lt;25,"",INDEX('Solar Power Plant Data'!H:H,ROW()-1))</f>
        <v>204</v>
      </c>
      <c r="G545" s="19">
        <f>IF(ROW()&lt;25,"",AVERAGE(OFFSET('Solar Power Plant Data'!H567,-23,0,24,1)))
</f>
        <v>781057.1667</v>
      </c>
      <c r="H545" s="21">
        <f>'Solar Power Plant Data'!H544/MAX('Solar Power Plant Data'!E544,0.0001)
</f>
        <v>2040000</v>
      </c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</row>
    <row r="546">
      <c r="A546" s="21">
        <f>HOUR('Solar Power Plant Data'!A545)</f>
        <v>2</v>
      </c>
      <c r="B546" s="21">
        <f>DAY('Solar Power Plant Data'!A545)</f>
        <v>23</v>
      </c>
      <c r="C546" s="21">
        <f>MONTH('Solar Power Plant Data'!A545)</f>
        <v>9</v>
      </c>
      <c r="D546" s="21" t="str">
        <f>TEXT('Solar Power Plant Data'!A545,"ddd")</f>
        <v>Sat</v>
      </c>
      <c r="E546" s="21">
        <f t="shared" si="1"/>
        <v>1</v>
      </c>
      <c r="F546" s="19">
        <f t="array" ref="F546">IF(ROW()&lt;25,"",INDEX('Solar Power Plant Data'!H:H,ROW()-1))</f>
        <v>168</v>
      </c>
      <c r="G546" s="19">
        <f>IF(ROW()&lt;25,"",AVERAGE(OFFSET('Solar Power Plant Data'!H568,-23,0,24,1)))
</f>
        <v>1012784.792</v>
      </c>
      <c r="H546" s="21">
        <f>'Solar Power Plant Data'!H545/MAX('Solar Power Plant Data'!E545,0.0001)
</f>
        <v>5.25</v>
      </c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</row>
    <row r="547">
      <c r="A547" s="21">
        <f>HOUR('Solar Power Plant Data'!A546)</f>
        <v>2</v>
      </c>
      <c r="B547" s="21">
        <f>DAY('Solar Power Plant Data'!A546)</f>
        <v>24</v>
      </c>
      <c r="C547" s="21">
        <f>MONTH('Solar Power Plant Data'!A546)</f>
        <v>9</v>
      </c>
      <c r="D547" s="21" t="str">
        <f>TEXT('Solar Power Plant Data'!A546,"ddd")</f>
        <v>Sun</v>
      </c>
      <c r="E547" s="21">
        <f t="shared" si="1"/>
        <v>1</v>
      </c>
      <c r="F547" s="19">
        <f t="array" ref="F547">IF(ROW()&lt;25,"",INDEX('Solar Power Plant Data'!H:H,ROW()-1))</f>
        <v>216667</v>
      </c>
      <c r="G547" s="19">
        <f>IF(ROW()&lt;25,"",AVERAGE(OFFSET('Solar Power Plant Data'!H569,-23,0,24,1)))
</f>
        <v>1134236.167</v>
      </c>
      <c r="H547" s="21">
        <f>'Solar Power Plant Data'!H546/MAX('Solar Power Plant Data'!E546,0.0001)
</f>
        <v>2166670000</v>
      </c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</row>
    <row r="548">
      <c r="A548" s="21">
        <f>HOUR('Solar Power Plant Data'!A547)</f>
        <v>2</v>
      </c>
      <c r="B548" s="21">
        <f>DAY('Solar Power Plant Data'!A547)</f>
        <v>25</v>
      </c>
      <c r="C548" s="21">
        <f>MONTH('Solar Power Plant Data'!A547)</f>
        <v>9</v>
      </c>
      <c r="D548" s="21" t="str">
        <f>TEXT('Solar Power Plant Data'!A547,"ddd")</f>
        <v>Mon</v>
      </c>
      <c r="E548" s="21">
        <f t="shared" si="1"/>
        <v>0</v>
      </c>
      <c r="F548" s="19">
        <f t="array" ref="F548">IF(ROW()&lt;25,"",INDEX('Solar Power Plant Data'!H:H,ROW()-1))</f>
        <v>0</v>
      </c>
      <c r="G548" s="19">
        <f>IF(ROW()&lt;25,"",AVERAGE(OFFSET('Solar Power Plant Data'!H570,-23,0,24,1)))
</f>
        <v>1132986.167</v>
      </c>
      <c r="H548" s="21">
        <f>'Solar Power Plant Data'!H547/MAX('Solar Power Plant Data'!E547,0.0001)
</f>
        <v>0</v>
      </c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</row>
    <row r="549">
      <c r="A549" s="21">
        <f>HOUR('Solar Power Plant Data'!A548)</f>
        <v>2</v>
      </c>
      <c r="B549" s="21">
        <f>DAY('Solar Power Plant Data'!A548)</f>
        <v>26</v>
      </c>
      <c r="C549" s="21">
        <f>MONTH('Solar Power Plant Data'!A548)</f>
        <v>9</v>
      </c>
      <c r="D549" s="21" t="str">
        <f>TEXT('Solar Power Plant Data'!A548,"ddd")</f>
        <v>Tue</v>
      </c>
      <c r="E549" s="21">
        <f t="shared" si="1"/>
        <v>0</v>
      </c>
      <c r="F549" s="19">
        <f t="array" ref="F549">IF(ROW()&lt;25,"",INDEX('Solar Power Plant Data'!H:H,ROW()-1))</f>
        <v>0</v>
      </c>
      <c r="G549" s="19">
        <f>IF(ROW()&lt;25,"",AVERAGE(OFFSET('Solar Power Plant Data'!H571,-23,0,24,1)))
</f>
        <v>1132986.167</v>
      </c>
      <c r="H549" s="21">
        <f>'Solar Power Plant Data'!H548/MAX('Solar Power Plant Data'!E548,0.0001)
</f>
        <v>0</v>
      </c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</row>
    <row r="550">
      <c r="A550" s="21">
        <f>HOUR('Solar Power Plant Data'!A549)</f>
        <v>2</v>
      </c>
      <c r="B550" s="21">
        <f>DAY('Solar Power Plant Data'!A549)</f>
        <v>27</v>
      </c>
      <c r="C550" s="21">
        <f>MONTH('Solar Power Plant Data'!A549)</f>
        <v>9</v>
      </c>
      <c r="D550" s="21" t="str">
        <f>TEXT('Solar Power Plant Data'!A549,"ddd")</f>
        <v>Wed</v>
      </c>
      <c r="E550" s="21">
        <f t="shared" si="1"/>
        <v>0</v>
      </c>
      <c r="F550" s="19">
        <f t="array" ref="F550">IF(ROW()&lt;25,"",INDEX('Solar Power Plant Data'!H:H,ROW()-1))</f>
        <v>0</v>
      </c>
      <c r="G550" s="19">
        <f>IF(ROW()&lt;25,"",AVERAGE(OFFSET('Solar Power Plant Data'!H572,-23,0,24,1)))
</f>
        <v>1132986.167</v>
      </c>
      <c r="H550" s="21">
        <f>'Solar Power Plant Data'!H549/MAX('Solar Power Plant Data'!E549,0.0001)
</f>
        <v>0</v>
      </c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</row>
    <row r="551">
      <c r="A551" s="21">
        <f>HOUR('Solar Power Plant Data'!A550)</f>
        <v>2</v>
      </c>
      <c r="B551" s="21">
        <f>DAY('Solar Power Plant Data'!A550)</f>
        <v>28</v>
      </c>
      <c r="C551" s="21">
        <f>MONTH('Solar Power Plant Data'!A550)</f>
        <v>9</v>
      </c>
      <c r="D551" s="21" t="str">
        <f>TEXT('Solar Power Plant Data'!A550,"ddd")</f>
        <v>Thu</v>
      </c>
      <c r="E551" s="21">
        <f t="shared" si="1"/>
        <v>0</v>
      </c>
      <c r="F551" s="19">
        <f t="array" ref="F551">IF(ROW()&lt;25,"",INDEX('Solar Power Plant Data'!H:H,ROW()-1))</f>
        <v>0</v>
      </c>
      <c r="G551" s="19">
        <f>IF(ROW()&lt;25,"",AVERAGE(OFFSET('Solar Power Plant Data'!H573,-23,0,24,1)))
</f>
        <v>1132986.167</v>
      </c>
      <c r="H551" s="21">
        <f>'Solar Power Plant Data'!H550/MAX('Solar Power Plant Data'!E550,0.0001)
</f>
        <v>0</v>
      </c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</row>
    <row r="552">
      <c r="A552" s="21">
        <f>HOUR('Solar Power Plant Data'!A551)</f>
        <v>2</v>
      </c>
      <c r="B552" s="21">
        <f>DAY('Solar Power Plant Data'!A551)</f>
        <v>29</v>
      </c>
      <c r="C552" s="21">
        <f>MONTH('Solar Power Plant Data'!A551)</f>
        <v>9</v>
      </c>
      <c r="D552" s="21" t="str">
        <f>TEXT('Solar Power Plant Data'!A551,"ddd")</f>
        <v>Fri</v>
      </c>
      <c r="E552" s="21">
        <f t="shared" si="1"/>
        <v>0</v>
      </c>
      <c r="F552" s="19">
        <f t="array" ref="F552">IF(ROW()&lt;25,"",INDEX('Solar Power Plant Data'!H:H,ROW()-1))</f>
        <v>0</v>
      </c>
      <c r="G552" s="19">
        <f>IF(ROW()&lt;25,"",AVERAGE(OFFSET('Solar Power Plant Data'!H574,-23,0,24,1)))
</f>
        <v>1132986.167</v>
      </c>
      <c r="H552" s="21">
        <f>'Solar Power Plant Data'!H551/MAX('Solar Power Plant Data'!E551,0.0001)
</f>
        <v>0</v>
      </c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</row>
    <row r="553">
      <c r="A553" s="21">
        <f>HOUR('Solar Power Plant Data'!A552)</f>
        <v>2</v>
      </c>
      <c r="B553" s="21">
        <f>DAY('Solar Power Plant Data'!A552)</f>
        <v>30</v>
      </c>
      <c r="C553" s="21">
        <f>MONTH('Solar Power Plant Data'!A552)</f>
        <v>9</v>
      </c>
      <c r="D553" s="21" t="str">
        <f>TEXT('Solar Power Plant Data'!A552,"ddd")</f>
        <v>Sat</v>
      </c>
      <c r="E553" s="21">
        <f t="shared" si="1"/>
        <v>1</v>
      </c>
      <c r="F553" s="19">
        <f t="array" ref="F553">IF(ROW()&lt;25,"",INDEX('Solar Power Plant Data'!H:H,ROW()-1))</f>
        <v>0</v>
      </c>
      <c r="G553" s="19">
        <f>IF(ROW()&lt;25,"",AVERAGE(OFFSET('Solar Power Plant Data'!H575,-23,0,24,1)))
</f>
        <v>1132986.167</v>
      </c>
      <c r="H553" s="21">
        <f>'Solar Power Plant Data'!H552/MAX('Solar Power Plant Data'!E552,0.0001)
</f>
        <v>0</v>
      </c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</row>
    <row r="554">
      <c r="A554" s="21">
        <f>HOUR('Solar Power Plant Data'!A553)</f>
        <v>2</v>
      </c>
      <c r="B554" s="21">
        <f>DAY('Solar Power Plant Data'!A553)</f>
        <v>1</v>
      </c>
      <c r="C554" s="21">
        <f>MONTH('Solar Power Plant Data'!A553)</f>
        <v>10</v>
      </c>
      <c r="D554" s="21" t="str">
        <f>TEXT('Solar Power Plant Data'!A553,"ddd")</f>
        <v>Sun</v>
      </c>
      <c r="E554" s="21">
        <f t="shared" si="1"/>
        <v>1</v>
      </c>
      <c r="F554" s="19">
        <f t="array" ref="F554">IF(ROW()&lt;25,"",INDEX('Solar Power Plant Data'!H:H,ROW()-1))</f>
        <v>0</v>
      </c>
      <c r="G554" s="19">
        <f>IF(ROW()&lt;25,"",AVERAGE(OFFSET('Solar Power Plant Data'!H576,-23,0,24,1)))
</f>
        <v>1132986.167</v>
      </c>
      <c r="H554" s="21">
        <f>'Solar Power Plant Data'!H553/MAX('Solar Power Plant Data'!E553,0.0001)
</f>
        <v>0</v>
      </c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</row>
    <row r="555">
      <c r="A555" s="21">
        <f>HOUR('Solar Power Plant Data'!A554)</f>
        <v>2</v>
      </c>
      <c r="B555" s="21">
        <f>DAY('Solar Power Plant Data'!A554)</f>
        <v>2</v>
      </c>
      <c r="C555" s="21">
        <f>MONTH('Solar Power Plant Data'!A554)</f>
        <v>10</v>
      </c>
      <c r="D555" s="21" t="str">
        <f>TEXT('Solar Power Plant Data'!A554,"ddd")</f>
        <v>Mon</v>
      </c>
      <c r="E555" s="21">
        <f t="shared" si="1"/>
        <v>0</v>
      </c>
      <c r="F555" s="19">
        <f t="array" ref="F555">IF(ROW()&lt;25,"",INDEX('Solar Power Plant Data'!H:H,ROW()-1))</f>
        <v>0</v>
      </c>
      <c r="G555" s="19">
        <f>IF(ROW()&lt;25,"",AVERAGE(OFFSET('Solar Power Plant Data'!H577,-23,0,24,1)))
</f>
        <v>1132986.167</v>
      </c>
      <c r="H555" s="21">
        <f>'Solar Power Plant Data'!H554/MAX('Solar Power Plant Data'!E554,0.0001)
</f>
        <v>0</v>
      </c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</row>
    <row r="556">
      <c r="A556" s="21">
        <f>HOUR('Solar Power Plant Data'!A555)</f>
        <v>2</v>
      </c>
      <c r="B556" s="21">
        <f>DAY('Solar Power Plant Data'!A555)</f>
        <v>3</v>
      </c>
      <c r="C556" s="21">
        <f>MONTH('Solar Power Plant Data'!A555)</f>
        <v>10</v>
      </c>
      <c r="D556" s="21" t="str">
        <f>TEXT('Solar Power Plant Data'!A555,"ddd")</f>
        <v>Tue</v>
      </c>
      <c r="E556" s="21">
        <f t="shared" si="1"/>
        <v>0</v>
      </c>
      <c r="F556" s="19">
        <f t="array" ref="F556">IF(ROW()&lt;25,"",INDEX('Solar Power Plant Data'!H:H,ROW()-1))</f>
        <v>0</v>
      </c>
      <c r="G556" s="19">
        <f>IF(ROW()&lt;25,"",AVERAGE(OFFSET('Solar Power Plant Data'!H578,-23,0,24,1)))
</f>
        <v>1132986.167</v>
      </c>
      <c r="H556" s="21">
        <f>'Solar Power Plant Data'!H555/MAX('Solar Power Plant Data'!E555,0.0001)
</f>
        <v>0</v>
      </c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</row>
    <row r="557">
      <c r="A557" s="21">
        <f>HOUR('Solar Power Plant Data'!A556)</f>
        <v>2</v>
      </c>
      <c r="B557" s="21">
        <f>DAY('Solar Power Plant Data'!A556)</f>
        <v>4</v>
      </c>
      <c r="C557" s="21">
        <f>MONTH('Solar Power Plant Data'!A556)</f>
        <v>10</v>
      </c>
      <c r="D557" s="21" t="str">
        <f>TEXT('Solar Power Plant Data'!A556,"ddd")</f>
        <v>Wed</v>
      </c>
      <c r="E557" s="21">
        <f t="shared" si="1"/>
        <v>0</v>
      </c>
      <c r="F557" s="19">
        <f t="array" ref="F557">IF(ROW()&lt;25,"",INDEX('Solar Power Plant Data'!H:H,ROW()-1))</f>
        <v>0</v>
      </c>
      <c r="G557" s="19">
        <f>IF(ROW()&lt;25,"",AVERAGE(OFFSET('Solar Power Plant Data'!H579,-23,0,24,1)))
</f>
        <v>1132986.167</v>
      </c>
      <c r="H557" s="21">
        <f>'Solar Power Plant Data'!H556/MAX('Solar Power Plant Data'!E556,0.0001)
</f>
        <v>0</v>
      </c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</row>
    <row r="558">
      <c r="A558" s="21">
        <f>HOUR('Solar Power Plant Data'!A557)</f>
        <v>2</v>
      </c>
      <c r="B558" s="21">
        <f>DAY('Solar Power Plant Data'!A557)</f>
        <v>5</v>
      </c>
      <c r="C558" s="21">
        <f>MONTH('Solar Power Plant Data'!A557)</f>
        <v>10</v>
      </c>
      <c r="D558" s="21" t="str">
        <f>TEXT('Solar Power Plant Data'!A557,"ddd")</f>
        <v>Thu</v>
      </c>
      <c r="E558" s="21">
        <f t="shared" si="1"/>
        <v>0</v>
      </c>
      <c r="F558" s="19">
        <f t="array" ref="F558">IF(ROW()&lt;25,"",INDEX('Solar Power Plant Data'!H:H,ROW()-1))</f>
        <v>0</v>
      </c>
      <c r="G558" s="19">
        <f>IF(ROW()&lt;25,"",AVERAGE(OFFSET('Solar Power Plant Data'!H580,-23,0,24,1)))
</f>
        <v>1132986.167</v>
      </c>
      <c r="H558" s="21">
        <f>'Solar Power Plant Data'!H557/MAX('Solar Power Plant Data'!E557,0.0001)
</f>
        <v>0</v>
      </c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</row>
    <row r="559">
      <c r="A559" s="21">
        <f>HOUR('Solar Power Plant Data'!A558)</f>
        <v>2</v>
      </c>
      <c r="B559" s="21">
        <f>DAY('Solar Power Plant Data'!A558)</f>
        <v>6</v>
      </c>
      <c r="C559" s="21">
        <f>MONTH('Solar Power Plant Data'!A558)</f>
        <v>10</v>
      </c>
      <c r="D559" s="21" t="str">
        <f>TEXT('Solar Power Plant Data'!A558,"ddd")</f>
        <v>Fri</v>
      </c>
      <c r="E559" s="21">
        <f t="shared" si="1"/>
        <v>0</v>
      </c>
      <c r="F559" s="19">
        <f t="array" ref="F559">IF(ROW()&lt;25,"",INDEX('Solar Power Plant Data'!H:H,ROW()-1))</f>
        <v>0</v>
      </c>
      <c r="G559" s="19">
        <f>IF(ROW()&lt;25,"",AVERAGE(OFFSET('Solar Power Plant Data'!H581,-23,0,24,1)))
</f>
        <v>1132986.167</v>
      </c>
      <c r="H559" s="21">
        <f>'Solar Power Plant Data'!H558/MAX('Solar Power Plant Data'!E558,0.0001)
</f>
        <v>0</v>
      </c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</row>
    <row r="560">
      <c r="A560" s="21">
        <f>HOUR('Solar Power Plant Data'!A559)</f>
        <v>2</v>
      </c>
      <c r="B560" s="21">
        <f>DAY('Solar Power Plant Data'!A559)</f>
        <v>7</v>
      </c>
      <c r="C560" s="21">
        <f>MONTH('Solar Power Plant Data'!A559)</f>
        <v>10</v>
      </c>
      <c r="D560" s="21" t="str">
        <f>TEXT('Solar Power Plant Data'!A559,"ddd")</f>
        <v>Sat</v>
      </c>
      <c r="E560" s="21">
        <f t="shared" si="1"/>
        <v>1</v>
      </c>
      <c r="F560" s="19">
        <f t="array" ref="F560">IF(ROW()&lt;25,"",INDEX('Solar Power Plant Data'!H:H,ROW()-1))</f>
        <v>0</v>
      </c>
      <c r="G560" s="19">
        <f>IF(ROW()&lt;25,"",AVERAGE(OFFSET('Solar Power Plant Data'!H582,-23,0,24,1)))
</f>
        <v>1132986.167</v>
      </c>
      <c r="H560" s="21">
        <f>'Solar Power Plant Data'!H559/MAX('Solar Power Plant Data'!E559,0.0001)
</f>
        <v>0</v>
      </c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</row>
    <row r="561">
      <c r="A561" s="21">
        <f>HOUR('Solar Power Plant Data'!A560)</f>
        <v>2</v>
      </c>
      <c r="B561" s="21">
        <f>DAY('Solar Power Plant Data'!A560)</f>
        <v>8</v>
      </c>
      <c r="C561" s="21">
        <f>MONTH('Solar Power Plant Data'!A560)</f>
        <v>10</v>
      </c>
      <c r="D561" s="21" t="str">
        <f>TEXT('Solar Power Plant Data'!A560,"ddd")</f>
        <v>Sun</v>
      </c>
      <c r="E561" s="21">
        <f t="shared" si="1"/>
        <v>1</v>
      </c>
      <c r="F561" s="19">
        <f t="array" ref="F561">IF(ROW()&lt;25,"",INDEX('Solar Power Plant Data'!H:H,ROW()-1))</f>
        <v>0</v>
      </c>
      <c r="G561" s="19">
        <f>IF(ROW()&lt;25,"",AVERAGE(OFFSET('Solar Power Plant Data'!H583,-23,0,24,1)))
</f>
        <v>1132986.167</v>
      </c>
      <c r="H561" s="21">
        <f>'Solar Power Plant Data'!H560/MAX('Solar Power Plant Data'!E560,0.0001)
</f>
        <v>0</v>
      </c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</row>
    <row r="562">
      <c r="A562" s="21">
        <f>HOUR('Solar Power Plant Data'!A561)</f>
        <v>2</v>
      </c>
      <c r="B562" s="21">
        <f>DAY('Solar Power Plant Data'!A561)</f>
        <v>9</v>
      </c>
      <c r="C562" s="21">
        <f>MONTH('Solar Power Plant Data'!A561)</f>
        <v>10</v>
      </c>
      <c r="D562" s="21" t="str">
        <f>TEXT('Solar Power Plant Data'!A561,"ddd")</f>
        <v>Mon</v>
      </c>
      <c r="E562" s="21">
        <f t="shared" si="1"/>
        <v>0</v>
      </c>
      <c r="F562" s="19">
        <f t="array" ref="F562">IF(ROW()&lt;25,"",INDEX('Solar Power Plant Data'!H:H,ROW()-1))</f>
        <v>0</v>
      </c>
      <c r="G562" s="19">
        <f>IF(ROW()&lt;25,"",AVERAGE(OFFSET('Solar Power Plant Data'!H584,-23,0,24,1)))
</f>
        <v>1132986.167</v>
      </c>
      <c r="H562" s="21">
        <f>'Solar Power Plant Data'!H561/MAX('Solar Power Plant Data'!E561,0.0001)
</f>
        <v>0</v>
      </c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</row>
    <row r="563">
      <c r="A563" s="21">
        <f>HOUR('Solar Power Plant Data'!A562)</f>
        <v>2</v>
      </c>
      <c r="B563" s="21">
        <f>DAY('Solar Power Plant Data'!A562)</f>
        <v>10</v>
      </c>
      <c r="C563" s="21">
        <f>MONTH('Solar Power Plant Data'!A562)</f>
        <v>10</v>
      </c>
      <c r="D563" s="21" t="str">
        <f>TEXT('Solar Power Plant Data'!A562,"ddd")</f>
        <v>Tue</v>
      </c>
      <c r="E563" s="21">
        <f t="shared" si="1"/>
        <v>0</v>
      </c>
      <c r="F563" s="19">
        <f t="array" ref="F563">IF(ROW()&lt;25,"",INDEX('Solar Power Plant Data'!H:H,ROW()-1))</f>
        <v>0</v>
      </c>
      <c r="G563" s="19">
        <f>IF(ROW()&lt;25,"",AVERAGE(OFFSET('Solar Power Plant Data'!H585,-23,0,24,1)))
</f>
        <v>1132986.167</v>
      </c>
      <c r="H563" s="21">
        <f>'Solar Power Plant Data'!H562/MAX('Solar Power Plant Data'!E562,0.0001)
</f>
        <v>0</v>
      </c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</row>
    <row r="564">
      <c r="A564" s="21">
        <f>HOUR('Solar Power Plant Data'!A563)</f>
        <v>2</v>
      </c>
      <c r="B564" s="21">
        <f>DAY('Solar Power Plant Data'!A563)</f>
        <v>11</v>
      </c>
      <c r="C564" s="21">
        <f>MONTH('Solar Power Plant Data'!A563)</f>
        <v>10</v>
      </c>
      <c r="D564" s="21" t="str">
        <f>TEXT('Solar Power Plant Data'!A563,"ddd")</f>
        <v>Wed</v>
      </c>
      <c r="E564" s="21">
        <f t="shared" si="1"/>
        <v>0</v>
      </c>
      <c r="F564" s="19">
        <f t="array" ref="F564">IF(ROW()&lt;25,"",INDEX('Solar Power Plant Data'!H:H,ROW()-1))</f>
        <v>0</v>
      </c>
      <c r="G564" s="19">
        <f>IF(ROW()&lt;25,"",AVERAGE(OFFSET('Solar Power Plant Data'!H586,-23,0,24,1)))
</f>
        <v>1132986.167</v>
      </c>
      <c r="H564" s="21">
        <f>'Solar Power Plant Data'!H563/MAX('Solar Power Plant Data'!E563,0.0001)
</f>
        <v>0</v>
      </c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</row>
    <row r="565">
      <c r="A565" s="21">
        <f>HOUR('Solar Power Plant Data'!A564)</f>
        <v>2</v>
      </c>
      <c r="B565" s="21">
        <f>DAY('Solar Power Plant Data'!A564)</f>
        <v>12</v>
      </c>
      <c r="C565" s="21">
        <f>MONTH('Solar Power Plant Data'!A564)</f>
        <v>10</v>
      </c>
      <c r="D565" s="21" t="str">
        <f>TEXT('Solar Power Plant Data'!A564,"ddd")</f>
        <v>Thu</v>
      </c>
      <c r="E565" s="21">
        <f t="shared" si="1"/>
        <v>0</v>
      </c>
      <c r="F565" s="19">
        <f t="array" ref="F565">IF(ROW()&lt;25,"",INDEX('Solar Power Plant Data'!H:H,ROW()-1))</f>
        <v>0</v>
      </c>
      <c r="G565" s="19">
        <f>IF(ROW()&lt;25,"",AVERAGE(OFFSET('Solar Power Plant Data'!H587,-23,0,24,1)))
</f>
        <v>1132986.167</v>
      </c>
      <c r="H565" s="21">
        <f>'Solar Power Plant Data'!H564/MAX('Solar Power Plant Data'!E564,0.0001)
</f>
        <v>0</v>
      </c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</row>
    <row r="566">
      <c r="A566" s="21">
        <f>HOUR('Solar Power Plant Data'!A565)</f>
        <v>2</v>
      </c>
      <c r="B566" s="21">
        <f>DAY('Solar Power Plant Data'!A565)</f>
        <v>13</v>
      </c>
      <c r="C566" s="21">
        <f>MONTH('Solar Power Plant Data'!A565)</f>
        <v>10</v>
      </c>
      <c r="D566" s="21" t="str">
        <f>TEXT('Solar Power Plant Data'!A565,"ddd")</f>
        <v>Fri</v>
      </c>
      <c r="E566" s="21">
        <f t="shared" si="1"/>
        <v>0</v>
      </c>
      <c r="F566" s="19">
        <f t="array" ref="F566">IF(ROW()&lt;25,"",INDEX('Solar Power Plant Data'!H:H,ROW()-1))</f>
        <v>263333</v>
      </c>
      <c r="G566" s="19">
        <f>IF(ROW()&lt;25,"",AVERAGE(OFFSET('Solar Power Plant Data'!H588,-23,0,24,1)))
</f>
        <v>1132986.167</v>
      </c>
      <c r="H566" s="21">
        <f>'Solar Power Plant Data'!H565/MAX('Solar Power Plant Data'!E565,0.0001)
</f>
        <v>2633330000</v>
      </c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</row>
    <row r="567">
      <c r="A567" s="21">
        <f>HOUR('Solar Power Plant Data'!A566)</f>
        <v>2</v>
      </c>
      <c r="B567" s="21">
        <f>DAY('Solar Power Plant Data'!A566)</f>
        <v>14</v>
      </c>
      <c r="C567" s="21">
        <f>MONTH('Solar Power Plant Data'!A566)</f>
        <v>10</v>
      </c>
      <c r="D567" s="21" t="str">
        <f>TEXT('Solar Power Plant Data'!A566,"ddd")</f>
        <v>Sat</v>
      </c>
      <c r="E567" s="21">
        <f t="shared" si="1"/>
        <v>1</v>
      </c>
      <c r="F567" s="19">
        <f t="array" ref="F567">IF(ROW()&lt;25,"",INDEX('Solar Power Plant Data'!H:H,ROW()-1))</f>
        <v>8531667</v>
      </c>
      <c r="G567" s="19">
        <f>IF(ROW()&lt;25,"",AVERAGE(OFFSET('Solar Power Plant Data'!H589,-23,0,24,1)))
</f>
        <v>1197152.833</v>
      </c>
      <c r="H567" s="21">
        <f>'Solar Power Plant Data'!H566/MAX('Solar Power Plant Data'!E566,0.0001)
</f>
        <v>85316670000</v>
      </c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</row>
    <row r="568">
      <c r="A568" s="21">
        <f>HOUR('Solar Power Plant Data'!A567)</f>
        <v>2</v>
      </c>
      <c r="B568" s="21">
        <f>DAY('Solar Power Plant Data'!A567)</f>
        <v>15</v>
      </c>
      <c r="C568" s="21">
        <f>MONTH('Solar Power Plant Data'!A567)</f>
        <v>10</v>
      </c>
      <c r="D568" s="21" t="str">
        <f>TEXT('Solar Power Plant Data'!A567,"ddd")</f>
        <v>Sun</v>
      </c>
      <c r="E568" s="21">
        <f t="shared" si="1"/>
        <v>1</v>
      </c>
      <c r="F568" s="19">
        <f t="array" ref="F568">IF(ROW()&lt;25,"",INDEX('Solar Power Plant Data'!H:H,ROW()-1))</f>
        <v>9733333</v>
      </c>
      <c r="G568" s="19">
        <f>IF(ROW()&lt;25,"",AVERAGE(OFFSET('Solar Power Plant Data'!H590,-23,0,24,1)))
</f>
        <v>1159097.25</v>
      </c>
      <c r="H568" s="21">
        <f>'Solar Power Plant Data'!H567/MAX('Solar Power Plant Data'!E567,0.0001)
</f>
        <v>97333330000</v>
      </c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</row>
    <row r="569">
      <c r="A569" s="21">
        <f>HOUR('Solar Power Plant Data'!A568)</f>
        <v>2</v>
      </c>
      <c r="B569" s="21">
        <f>DAY('Solar Power Plant Data'!A568)</f>
        <v>16</v>
      </c>
      <c r="C569" s="21">
        <f>MONTH('Solar Power Plant Data'!A568)</f>
        <v>10</v>
      </c>
      <c r="D569" s="21" t="str">
        <f>TEXT('Solar Power Plant Data'!A568,"ddd")</f>
        <v>Mon</v>
      </c>
      <c r="E569" s="21">
        <f t="shared" si="1"/>
        <v>0</v>
      </c>
      <c r="F569" s="19">
        <f t="array" ref="F569">IF(ROW()&lt;25,"",INDEX('Solar Power Plant Data'!H:H,ROW()-1))</f>
        <v>5561667</v>
      </c>
      <c r="G569" s="19">
        <f>IF(ROW()&lt;25,"",AVERAGE(OFFSET('Solar Power Plant Data'!H591,-23,0,24,1)))
</f>
        <v>1055138.958</v>
      </c>
      <c r="H569" s="21">
        <f>'Solar Power Plant Data'!H568/MAX('Solar Power Plant Data'!E568,0.0001)
</f>
        <v>55616670000</v>
      </c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</row>
    <row r="570">
      <c r="A570" s="21">
        <f>HOUR('Solar Power Plant Data'!A569)</f>
        <v>2</v>
      </c>
      <c r="B570" s="21">
        <f>DAY('Solar Power Plant Data'!A569)</f>
        <v>17</v>
      </c>
      <c r="C570" s="21">
        <f>MONTH('Solar Power Plant Data'!A569)</f>
        <v>10</v>
      </c>
      <c r="D570" s="21" t="str">
        <f>TEXT('Solar Power Plant Data'!A569,"ddd")</f>
        <v>Tue</v>
      </c>
      <c r="E570" s="21">
        <f t="shared" si="1"/>
        <v>0</v>
      </c>
      <c r="F570" s="19">
        <f t="array" ref="F570">IF(ROW()&lt;25,"",INDEX('Solar Power Plant Data'!H:H,ROW()-1))</f>
        <v>2915001</v>
      </c>
      <c r="G570" s="19">
        <f>IF(ROW()&lt;25,"",AVERAGE(OFFSET('Solar Power Plant Data'!H592,-23,0,24,1)))
</f>
        <v>1016666.708</v>
      </c>
      <c r="H570" s="21">
        <f>'Solar Power Plant Data'!H569/MAX('Solar Power Plant Data'!E569,0.0001)
</f>
        <v>29150010000</v>
      </c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</row>
    <row r="571">
      <c r="A571" s="21">
        <f>HOUR('Solar Power Plant Data'!A570)</f>
        <v>2</v>
      </c>
      <c r="B571" s="21">
        <f>DAY('Solar Power Plant Data'!A570)</f>
        <v>18</v>
      </c>
      <c r="C571" s="21">
        <f>MONTH('Solar Power Plant Data'!A570)</f>
        <v>10</v>
      </c>
      <c r="D571" s="21" t="str">
        <f>TEXT('Solar Power Plant Data'!A570,"ddd")</f>
        <v>Wed</v>
      </c>
      <c r="E571" s="21">
        <f t="shared" si="1"/>
        <v>0</v>
      </c>
      <c r="F571" s="19">
        <f t="array" ref="F571">IF(ROW()&lt;25,"",INDEX('Solar Power Plant Data'!H:H,ROW()-1))</f>
        <v>186667</v>
      </c>
      <c r="G571" s="19">
        <f>IF(ROW()&lt;25,"",AVERAGE(OFFSET('Solar Power Plant Data'!H593,-23,0,24,1)))
</f>
        <v>964583.375</v>
      </c>
      <c r="H571" s="21">
        <f>'Solar Power Plant Data'!H570/MAX('Solar Power Plant Data'!E570,0.0001)
</f>
        <v>1866670000</v>
      </c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</row>
    <row r="572">
      <c r="A572" s="21">
        <f>HOUR('Solar Power Plant Data'!A571)</f>
        <v>2</v>
      </c>
      <c r="B572" s="21">
        <f>DAY('Solar Power Plant Data'!A571)</f>
        <v>19</v>
      </c>
      <c r="C572" s="21">
        <f>MONTH('Solar Power Plant Data'!A571)</f>
        <v>10</v>
      </c>
      <c r="D572" s="21" t="str">
        <f>TEXT('Solar Power Plant Data'!A571,"ddd")</f>
        <v>Thu</v>
      </c>
      <c r="E572" s="21">
        <f t="shared" si="1"/>
        <v>0</v>
      </c>
      <c r="F572" s="19">
        <f t="array" ref="F572">IF(ROW()&lt;25,"",INDEX('Solar Power Plant Data'!H:H,ROW()-1))</f>
        <v>0</v>
      </c>
      <c r="G572" s="19">
        <f>IF(ROW()&lt;25,"",AVERAGE(OFFSET('Solar Power Plant Data'!H594,-23,0,24,1)))
</f>
        <v>956806.7083</v>
      </c>
      <c r="H572" s="21">
        <f>'Solar Power Plant Data'!H571/MAX('Solar Power Plant Data'!E571,0.0001)
</f>
        <v>0</v>
      </c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</row>
    <row r="573">
      <c r="A573" s="21">
        <f>HOUR('Solar Power Plant Data'!A572)</f>
        <v>2</v>
      </c>
      <c r="B573" s="21">
        <f>DAY('Solar Power Plant Data'!A572)</f>
        <v>20</v>
      </c>
      <c r="C573" s="21">
        <f>MONTH('Solar Power Plant Data'!A572)</f>
        <v>10</v>
      </c>
      <c r="D573" s="21" t="str">
        <f>TEXT('Solar Power Plant Data'!A572,"ddd")</f>
        <v>Fri</v>
      </c>
      <c r="E573" s="21">
        <f t="shared" si="1"/>
        <v>0</v>
      </c>
      <c r="F573" s="19">
        <f t="array" ref="F573">IF(ROW()&lt;25,"",INDEX('Solar Power Plant Data'!H:H,ROW()-1))</f>
        <v>0</v>
      </c>
      <c r="G573" s="19">
        <f>IF(ROW()&lt;25,"",AVERAGE(OFFSET('Solar Power Plant Data'!H595,-23,0,24,1)))
</f>
        <v>956806.7083</v>
      </c>
      <c r="H573" s="21">
        <f>'Solar Power Plant Data'!H572/MAX('Solar Power Plant Data'!E572,0.0001)
</f>
        <v>0</v>
      </c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</row>
    <row r="574">
      <c r="A574" s="21">
        <f>HOUR('Solar Power Plant Data'!A573)</f>
        <v>2</v>
      </c>
      <c r="B574" s="21">
        <f>DAY('Solar Power Plant Data'!A573)</f>
        <v>21</v>
      </c>
      <c r="C574" s="21">
        <f>MONTH('Solar Power Plant Data'!A573)</f>
        <v>10</v>
      </c>
      <c r="D574" s="21" t="str">
        <f>TEXT('Solar Power Plant Data'!A573,"ddd")</f>
        <v>Sat</v>
      </c>
      <c r="E574" s="21">
        <f t="shared" si="1"/>
        <v>1</v>
      </c>
      <c r="F574" s="19">
        <f t="array" ref="F574">IF(ROW()&lt;25,"",INDEX('Solar Power Plant Data'!H:H,ROW()-1))</f>
        <v>0</v>
      </c>
      <c r="G574" s="19">
        <f>IF(ROW()&lt;25,"",AVERAGE(OFFSET('Solar Power Plant Data'!H596,-23,0,24,1)))
</f>
        <v>956806.7083</v>
      </c>
      <c r="H574" s="21">
        <f>'Solar Power Plant Data'!H573/MAX('Solar Power Plant Data'!E573,0.0001)
</f>
        <v>0</v>
      </c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</row>
    <row r="575">
      <c r="A575" s="21">
        <f>HOUR('Solar Power Plant Data'!A574)</f>
        <v>2</v>
      </c>
      <c r="B575" s="21">
        <f>DAY('Solar Power Plant Data'!A574)</f>
        <v>22</v>
      </c>
      <c r="C575" s="21">
        <f>MONTH('Solar Power Plant Data'!A574)</f>
        <v>10</v>
      </c>
      <c r="D575" s="21" t="str">
        <f>TEXT('Solar Power Plant Data'!A574,"ddd")</f>
        <v>Sun</v>
      </c>
      <c r="E575" s="21">
        <f t="shared" si="1"/>
        <v>1</v>
      </c>
      <c r="F575" s="19">
        <f t="array" ref="F575">IF(ROW()&lt;25,"",INDEX('Solar Power Plant Data'!H:H,ROW()-1))</f>
        <v>0</v>
      </c>
      <c r="G575" s="19">
        <f>IF(ROW()&lt;25,"",AVERAGE(OFFSET('Solar Power Plant Data'!H597,-23,0,24,1)))
</f>
        <v>956806.7083</v>
      </c>
      <c r="H575" s="21">
        <f>'Solar Power Plant Data'!H574/MAX('Solar Power Plant Data'!E574,0.0001)
</f>
        <v>0</v>
      </c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</row>
    <row r="576">
      <c r="A576" s="21">
        <f>HOUR('Solar Power Plant Data'!A575)</f>
        <v>2</v>
      </c>
      <c r="B576" s="21">
        <f>DAY('Solar Power Plant Data'!A575)</f>
        <v>23</v>
      </c>
      <c r="C576" s="21">
        <f>MONTH('Solar Power Plant Data'!A575)</f>
        <v>10</v>
      </c>
      <c r="D576" s="21" t="str">
        <f>TEXT('Solar Power Plant Data'!A575,"ddd")</f>
        <v>Mon</v>
      </c>
      <c r="E576" s="21">
        <f t="shared" si="1"/>
        <v>0</v>
      </c>
      <c r="F576" s="19">
        <f t="array" ref="F576">IF(ROW()&lt;25,"",INDEX('Solar Power Plant Data'!H:H,ROW()-1))</f>
        <v>0</v>
      </c>
      <c r="G576" s="19">
        <f>IF(ROW()&lt;25,"",AVERAGE(OFFSET('Solar Power Plant Data'!H598,-23,0,24,1)))
</f>
        <v>956806.7083</v>
      </c>
      <c r="H576" s="21">
        <f>'Solar Power Plant Data'!H575/MAX('Solar Power Plant Data'!E575,0.0001)
</f>
        <v>0</v>
      </c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</row>
    <row r="577">
      <c r="A577" s="21">
        <f>HOUR('Solar Power Plant Data'!A576)</f>
        <v>2</v>
      </c>
      <c r="B577" s="21">
        <f>DAY('Solar Power Plant Data'!A576)</f>
        <v>24</v>
      </c>
      <c r="C577" s="21">
        <f>MONTH('Solar Power Plant Data'!A576)</f>
        <v>10</v>
      </c>
      <c r="D577" s="21" t="str">
        <f>TEXT('Solar Power Plant Data'!A576,"ddd")</f>
        <v>Tue</v>
      </c>
      <c r="E577" s="21">
        <f t="shared" si="1"/>
        <v>0</v>
      </c>
      <c r="F577" s="19">
        <f t="array" ref="F577">IF(ROW()&lt;25,"",INDEX('Solar Power Plant Data'!H:H,ROW()-1))</f>
        <v>0</v>
      </c>
      <c r="G577" s="19">
        <f>IF(ROW()&lt;25,"",AVERAGE(OFFSET('Solar Power Plant Data'!H599,-23,0,24,1)))
</f>
        <v>956806.7083</v>
      </c>
      <c r="H577" s="21">
        <f>'Solar Power Plant Data'!H576/MAX('Solar Power Plant Data'!E576,0.0001)
</f>
        <v>0</v>
      </c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</row>
    <row r="578">
      <c r="A578" s="21">
        <f>HOUR('Solar Power Plant Data'!A577)</f>
        <v>2</v>
      </c>
      <c r="B578" s="21">
        <f>DAY('Solar Power Plant Data'!A577)</f>
        <v>25</v>
      </c>
      <c r="C578" s="21">
        <f>MONTH('Solar Power Plant Data'!A577)</f>
        <v>10</v>
      </c>
      <c r="D578" s="21" t="str">
        <f>TEXT('Solar Power Plant Data'!A577,"ddd")</f>
        <v>Wed</v>
      </c>
      <c r="E578" s="21">
        <f t="shared" si="1"/>
        <v>0</v>
      </c>
      <c r="F578" s="19">
        <f t="array" ref="F578">IF(ROW()&lt;25,"",INDEX('Solar Power Plant Data'!H:H,ROW()-1))</f>
        <v>0</v>
      </c>
      <c r="G578" s="19">
        <f>IF(ROW()&lt;25,"",AVERAGE(OFFSET('Solar Power Plant Data'!H600,-23,0,24,1)))
</f>
        <v>956806.7083</v>
      </c>
      <c r="H578" s="21">
        <f>'Solar Power Plant Data'!H577/MAX('Solar Power Plant Data'!E577,0.0001)
</f>
        <v>0</v>
      </c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</row>
    <row r="579">
      <c r="A579" s="21">
        <f>HOUR('Solar Power Plant Data'!A578)</f>
        <v>2</v>
      </c>
      <c r="B579" s="21">
        <f>DAY('Solar Power Plant Data'!A578)</f>
        <v>26</v>
      </c>
      <c r="C579" s="21">
        <f>MONTH('Solar Power Plant Data'!A578)</f>
        <v>10</v>
      </c>
      <c r="D579" s="21" t="str">
        <f>TEXT('Solar Power Plant Data'!A578,"ddd")</f>
        <v>Thu</v>
      </c>
      <c r="E579" s="21">
        <f t="shared" si="1"/>
        <v>0</v>
      </c>
      <c r="F579" s="19">
        <f t="array" ref="F579">IF(ROW()&lt;25,"",INDEX('Solar Power Plant Data'!H:H,ROW()-1))</f>
        <v>0</v>
      </c>
      <c r="G579" s="19">
        <f>IF(ROW()&lt;25,"",AVERAGE(OFFSET('Solar Power Plant Data'!H601,-23,0,24,1)))
</f>
        <v>956806.7083</v>
      </c>
      <c r="H579" s="21">
        <f>'Solar Power Plant Data'!H578/MAX('Solar Power Plant Data'!E578,0.0001)
</f>
        <v>0</v>
      </c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</row>
    <row r="580">
      <c r="A580" s="21">
        <f>HOUR('Solar Power Plant Data'!A579)</f>
        <v>2</v>
      </c>
      <c r="B580" s="21">
        <f>DAY('Solar Power Plant Data'!A579)</f>
        <v>27</v>
      </c>
      <c r="C580" s="21">
        <f>MONTH('Solar Power Plant Data'!A579)</f>
        <v>10</v>
      </c>
      <c r="D580" s="21" t="str">
        <f>TEXT('Solar Power Plant Data'!A579,"ddd")</f>
        <v>Fri</v>
      </c>
      <c r="E580" s="21">
        <f t="shared" si="1"/>
        <v>0</v>
      </c>
      <c r="F580" s="19">
        <f t="array" ref="F580">IF(ROW()&lt;25,"",INDEX('Solar Power Plant Data'!H:H,ROW()-1))</f>
        <v>0</v>
      </c>
      <c r="G580" s="19">
        <f>IF(ROW()&lt;25,"",AVERAGE(OFFSET('Solar Power Plant Data'!H602,-23,0,24,1)))
</f>
        <v>956806.7083</v>
      </c>
      <c r="H580" s="21">
        <f>'Solar Power Plant Data'!H579/MAX('Solar Power Plant Data'!E579,0.0001)
</f>
        <v>0</v>
      </c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</row>
    <row r="581">
      <c r="A581" s="21">
        <f>HOUR('Solar Power Plant Data'!A580)</f>
        <v>2</v>
      </c>
      <c r="B581" s="21">
        <f>DAY('Solar Power Plant Data'!A580)</f>
        <v>28</v>
      </c>
      <c r="C581" s="21">
        <f>MONTH('Solar Power Plant Data'!A580)</f>
        <v>10</v>
      </c>
      <c r="D581" s="21" t="str">
        <f>TEXT('Solar Power Plant Data'!A580,"ddd")</f>
        <v>Sat</v>
      </c>
      <c r="E581" s="21">
        <f t="shared" si="1"/>
        <v>1</v>
      </c>
      <c r="F581" s="19">
        <f t="array" ref="F581">IF(ROW()&lt;25,"",INDEX('Solar Power Plant Data'!H:H,ROW()-1))</f>
        <v>0</v>
      </c>
      <c r="G581" s="19">
        <f>IF(ROW()&lt;25,"",AVERAGE(OFFSET('Solar Power Plant Data'!H603,-23,0,24,1)))
</f>
        <v>956806.7083</v>
      </c>
      <c r="H581" s="21">
        <f>'Solar Power Plant Data'!H580/MAX('Solar Power Plant Data'!E580,0.0001)
</f>
        <v>0</v>
      </c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</row>
    <row r="582">
      <c r="A582" s="21">
        <f>HOUR('Solar Power Plant Data'!A581)</f>
        <v>2</v>
      </c>
      <c r="B582" s="21">
        <f>DAY('Solar Power Plant Data'!A581)</f>
        <v>29</v>
      </c>
      <c r="C582" s="21">
        <f>MONTH('Solar Power Plant Data'!A581)</f>
        <v>10</v>
      </c>
      <c r="D582" s="21" t="str">
        <f>TEXT('Solar Power Plant Data'!A581,"ddd")</f>
        <v>Sun</v>
      </c>
      <c r="E582" s="21">
        <f t="shared" si="1"/>
        <v>1</v>
      </c>
      <c r="F582" s="19">
        <f t="array" ref="F582">IF(ROW()&lt;25,"",INDEX('Solar Power Plant Data'!H:H,ROW()-1))</f>
        <v>0</v>
      </c>
      <c r="G582" s="19">
        <f>IF(ROW()&lt;25,"",AVERAGE(OFFSET('Solar Power Plant Data'!H604,-23,0,24,1)))
</f>
        <v>956806.7083</v>
      </c>
      <c r="H582" s="21">
        <f>'Solar Power Plant Data'!H581/MAX('Solar Power Plant Data'!E581,0.0001)
</f>
        <v>0</v>
      </c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</row>
    <row r="583">
      <c r="A583" s="21">
        <f>HOUR('Solar Power Plant Data'!A582)</f>
        <v>2</v>
      </c>
      <c r="B583" s="21">
        <f>DAY('Solar Power Plant Data'!A582)</f>
        <v>30</v>
      </c>
      <c r="C583" s="21">
        <f>MONTH('Solar Power Plant Data'!A582)</f>
        <v>10</v>
      </c>
      <c r="D583" s="21" t="str">
        <f>TEXT('Solar Power Plant Data'!A582,"ddd")</f>
        <v>Mon</v>
      </c>
      <c r="E583" s="21">
        <f t="shared" si="1"/>
        <v>0</v>
      </c>
      <c r="F583" s="19">
        <f t="array" ref="F583">IF(ROW()&lt;25,"",INDEX('Solar Power Plant Data'!H:H,ROW()-1))</f>
        <v>0</v>
      </c>
      <c r="G583" s="19">
        <f>IF(ROW()&lt;25,"",AVERAGE(OFFSET('Solar Power Plant Data'!H605,-23,0,24,1)))
</f>
        <v>956806.7083</v>
      </c>
      <c r="H583" s="21">
        <f>'Solar Power Plant Data'!H582/MAX('Solar Power Plant Data'!E582,0.0001)
</f>
        <v>0</v>
      </c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</row>
    <row r="584">
      <c r="A584" s="21">
        <f>HOUR('Solar Power Plant Data'!A583)</f>
        <v>2</v>
      </c>
      <c r="B584" s="21">
        <f>DAY('Solar Power Plant Data'!A583)</f>
        <v>31</v>
      </c>
      <c r="C584" s="21">
        <f>MONTH('Solar Power Plant Data'!A583)</f>
        <v>10</v>
      </c>
      <c r="D584" s="21" t="str">
        <f>TEXT('Solar Power Plant Data'!A583,"ddd")</f>
        <v>Tue</v>
      </c>
      <c r="E584" s="21">
        <f t="shared" si="1"/>
        <v>0</v>
      </c>
      <c r="F584" s="19">
        <f t="array" ref="F584">IF(ROW()&lt;25,"",INDEX('Solar Power Plant Data'!H:H,ROW()-1))</f>
        <v>0</v>
      </c>
      <c r="G584" s="19">
        <f>IF(ROW()&lt;25,"",AVERAGE(OFFSET('Solar Power Plant Data'!H606,-23,0,24,1)))
</f>
        <v>956806.7083</v>
      </c>
      <c r="H584" s="21">
        <f>'Solar Power Plant Data'!H583/MAX('Solar Power Plant Data'!E583,0.0001)
</f>
        <v>0</v>
      </c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</row>
    <row r="585">
      <c r="A585" s="21">
        <f>HOUR('Solar Power Plant Data'!A584)</f>
        <v>2</v>
      </c>
      <c r="B585" s="21">
        <f>DAY('Solar Power Plant Data'!A584)</f>
        <v>1</v>
      </c>
      <c r="C585" s="21">
        <f>MONTH('Solar Power Plant Data'!A584)</f>
        <v>11</v>
      </c>
      <c r="D585" s="21" t="str">
        <f>TEXT('Solar Power Plant Data'!A584,"ddd")</f>
        <v>Wed</v>
      </c>
      <c r="E585" s="21">
        <f t="shared" si="1"/>
        <v>0</v>
      </c>
      <c r="F585" s="19">
        <f t="array" ref="F585">IF(ROW()&lt;25,"",INDEX('Solar Power Plant Data'!H:H,ROW()-1))</f>
        <v>0</v>
      </c>
      <c r="G585" s="19">
        <f>IF(ROW()&lt;25,"",AVERAGE(OFFSET('Solar Power Plant Data'!H607,-23,0,24,1)))
</f>
        <v>956806.7083</v>
      </c>
      <c r="H585" s="21">
        <f>'Solar Power Plant Data'!H584/MAX('Solar Power Plant Data'!E584,0.0001)
</f>
        <v>0</v>
      </c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</row>
    <row r="586">
      <c r="A586" s="21">
        <f>HOUR('Solar Power Plant Data'!A585)</f>
        <v>2</v>
      </c>
      <c r="B586" s="21">
        <f>DAY('Solar Power Plant Data'!A585)</f>
        <v>2</v>
      </c>
      <c r="C586" s="21">
        <f>MONTH('Solar Power Plant Data'!A585)</f>
        <v>11</v>
      </c>
      <c r="D586" s="21" t="str">
        <f>TEXT('Solar Power Plant Data'!A585,"ddd")</f>
        <v>Thu</v>
      </c>
      <c r="E586" s="21">
        <f t="shared" si="1"/>
        <v>0</v>
      </c>
      <c r="F586" s="19">
        <f t="array" ref="F586">IF(ROW()&lt;25,"",INDEX('Solar Power Plant Data'!H:H,ROW()-1))</f>
        <v>0</v>
      </c>
      <c r="G586" s="19">
        <f>IF(ROW()&lt;25,"",AVERAGE(OFFSET('Solar Power Plant Data'!H608,-23,0,24,1)))
</f>
        <v>956806.7083</v>
      </c>
      <c r="H586" s="21">
        <f>'Solar Power Plant Data'!H585/MAX('Solar Power Plant Data'!E585,0.0001)
</f>
        <v>0</v>
      </c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</row>
    <row r="587">
      <c r="A587" s="21">
        <f>HOUR('Solar Power Plant Data'!A586)</f>
        <v>2</v>
      </c>
      <c r="B587" s="21">
        <f>DAY('Solar Power Plant Data'!A586)</f>
        <v>3</v>
      </c>
      <c r="C587" s="21">
        <f>MONTH('Solar Power Plant Data'!A586)</f>
        <v>11</v>
      </c>
      <c r="D587" s="21" t="str">
        <f>TEXT('Solar Power Plant Data'!A586,"ddd")</f>
        <v>Fri</v>
      </c>
      <c r="E587" s="21">
        <f t="shared" si="1"/>
        <v>0</v>
      </c>
      <c r="F587" s="19">
        <f t="array" ref="F587">IF(ROW()&lt;25,"",INDEX('Solar Power Plant Data'!H:H,ROW()-1))</f>
        <v>0</v>
      </c>
      <c r="G587" s="19">
        <f>IF(ROW()&lt;25,"",AVERAGE(OFFSET('Solar Power Plant Data'!H609,-23,0,24,1)))
</f>
        <v>956806.7083</v>
      </c>
      <c r="H587" s="21">
        <f>'Solar Power Plant Data'!H586/MAX('Solar Power Plant Data'!E586,0.0001)
</f>
        <v>0</v>
      </c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</row>
    <row r="588">
      <c r="A588" s="21">
        <f>HOUR('Solar Power Plant Data'!A587)</f>
        <v>2</v>
      </c>
      <c r="B588" s="21">
        <f>DAY('Solar Power Plant Data'!A587)</f>
        <v>4</v>
      </c>
      <c r="C588" s="21">
        <f>MONTH('Solar Power Plant Data'!A587)</f>
        <v>11</v>
      </c>
      <c r="D588" s="21" t="str">
        <f>TEXT('Solar Power Plant Data'!A587,"ddd")</f>
        <v>Sat</v>
      </c>
      <c r="E588" s="21">
        <f t="shared" si="1"/>
        <v>1</v>
      </c>
      <c r="F588" s="19">
        <f t="array" ref="F588">IF(ROW()&lt;25,"",INDEX('Solar Power Plant Data'!H:H,ROW()-1))</f>
        <v>0</v>
      </c>
      <c r="G588" s="19">
        <f>IF(ROW()&lt;25,"",AVERAGE(OFFSET('Solar Power Plant Data'!H610,-23,0,24,1)))
</f>
        <v>956806.7083</v>
      </c>
      <c r="H588" s="21">
        <f>'Solar Power Plant Data'!H587/MAX('Solar Power Plant Data'!E587,0.0001)
</f>
        <v>0</v>
      </c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</row>
    <row r="589">
      <c r="A589" s="21">
        <f>HOUR('Solar Power Plant Data'!A588)</f>
        <v>2</v>
      </c>
      <c r="B589" s="21">
        <f>DAY('Solar Power Plant Data'!A588)</f>
        <v>5</v>
      </c>
      <c r="C589" s="21">
        <f>MONTH('Solar Power Plant Data'!A588)</f>
        <v>11</v>
      </c>
      <c r="D589" s="21" t="str">
        <f>TEXT('Solar Power Plant Data'!A588,"ddd")</f>
        <v>Sun</v>
      </c>
      <c r="E589" s="21">
        <f t="shared" si="1"/>
        <v>1</v>
      </c>
      <c r="F589" s="19">
        <f t="array" ref="F589">IF(ROW()&lt;25,"",INDEX('Solar Power Plant Data'!H:H,ROW()-1))</f>
        <v>0</v>
      </c>
      <c r="G589" s="19">
        <f>IF(ROW()&lt;25,"",AVERAGE(OFFSET('Solar Power Plant Data'!H611,-23,0,24,1)))
</f>
        <v>956806.7083</v>
      </c>
      <c r="H589" s="21">
        <f>'Solar Power Plant Data'!H588/MAX('Solar Power Plant Data'!E588,0.0001)
</f>
        <v>0</v>
      </c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</row>
    <row r="590">
      <c r="A590" s="21">
        <f>HOUR('Solar Power Plant Data'!A589)</f>
        <v>2</v>
      </c>
      <c r="B590" s="21">
        <f>DAY('Solar Power Plant Data'!A589)</f>
        <v>6</v>
      </c>
      <c r="C590" s="21">
        <f>MONTH('Solar Power Plant Data'!A589)</f>
        <v>11</v>
      </c>
      <c r="D590" s="21" t="str">
        <f>TEXT('Solar Power Plant Data'!A589,"ddd")</f>
        <v>Mon</v>
      </c>
      <c r="E590" s="21">
        <f t="shared" si="1"/>
        <v>0</v>
      </c>
      <c r="F590" s="19">
        <f t="array" ref="F590">IF(ROW()&lt;25,"",INDEX('Solar Power Plant Data'!H:H,ROW()-1))</f>
        <v>1803333</v>
      </c>
      <c r="G590" s="19">
        <f>IF(ROW()&lt;25,"",AVERAGE(OFFSET('Solar Power Plant Data'!H612,-23,0,24,1)))
</f>
        <v>956807.5417</v>
      </c>
      <c r="H590" s="21">
        <f>'Solar Power Plant Data'!H589/MAX('Solar Power Plant Data'!E589,0.0001)
</f>
        <v>18033330000</v>
      </c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</row>
    <row r="591">
      <c r="A591" s="21">
        <f>HOUR('Solar Power Plant Data'!A590)</f>
        <v>2</v>
      </c>
      <c r="B591" s="21">
        <f>DAY('Solar Power Plant Data'!A590)</f>
        <v>7</v>
      </c>
      <c r="C591" s="21">
        <f>MONTH('Solar Power Plant Data'!A590)</f>
        <v>11</v>
      </c>
      <c r="D591" s="21" t="str">
        <f>TEXT('Solar Power Plant Data'!A590,"ddd")</f>
        <v>Tue</v>
      </c>
      <c r="E591" s="21">
        <f t="shared" si="1"/>
        <v>0</v>
      </c>
      <c r="F591" s="19">
        <f t="array" ref="F591">IF(ROW()&lt;25,"",INDEX('Solar Power Plant Data'!H:H,ROW()-1))</f>
        <v>7618333</v>
      </c>
      <c r="G591" s="19">
        <f>IF(ROW()&lt;25,"",AVERAGE(OFFSET('Solar Power Plant Data'!H613,-23,0,24,1)))
</f>
        <v>1115765.917</v>
      </c>
      <c r="H591" s="21">
        <f>'Solar Power Plant Data'!H590/MAX('Solar Power Plant Data'!E590,0.0001)
</f>
        <v>76183330000</v>
      </c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</row>
    <row r="592">
      <c r="A592" s="21">
        <f>HOUR('Solar Power Plant Data'!A591)</f>
        <v>2</v>
      </c>
      <c r="B592" s="21">
        <f>DAY('Solar Power Plant Data'!A591)</f>
        <v>8</v>
      </c>
      <c r="C592" s="21">
        <f>MONTH('Solar Power Plant Data'!A591)</f>
        <v>11</v>
      </c>
      <c r="D592" s="21" t="str">
        <f>TEXT('Solar Power Plant Data'!A591,"ddd")</f>
        <v>Wed</v>
      </c>
      <c r="E592" s="21">
        <f t="shared" si="1"/>
        <v>0</v>
      </c>
      <c r="F592" s="19">
        <f t="array" ref="F592">IF(ROW()&lt;25,"",INDEX('Solar Power Plant Data'!H:H,ROW()-1))</f>
        <v>7238334</v>
      </c>
      <c r="G592" s="19">
        <f>IF(ROW()&lt;25,"",AVERAGE(OFFSET('Solar Power Plant Data'!H614,-23,0,24,1)))
</f>
        <v>798396</v>
      </c>
      <c r="H592" s="21">
        <f>'Solar Power Plant Data'!H591/MAX('Solar Power Plant Data'!E591,0.0001)
</f>
        <v>72383340000</v>
      </c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</row>
    <row r="593">
      <c r="A593" s="21">
        <f>HOUR('Solar Power Plant Data'!A592)</f>
        <v>2</v>
      </c>
      <c r="B593" s="21">
        <f>DAY('Solar Power Plant Data'!A592)</f>
        <v>9</v>
      </c>
      <c r="C593" s="21">
        <f>MONTH('Solar Power Plant Data'!A592)</f>
        <v>11</v>
      </c>
      <c r="D593" s="21" t="str">
        <f>TEXT('Solar Power Plant Data'!A592,"ddd")</f>
        <v>Thu</v>
      </c>
      <c r="E593" s="21">
        <f t="shared" si="1"/>
        <v>0</v>
      </c>
      <c r="F593" s="19">
        <f t="array" ref="F593">IF(ROW()&lt;25,"",INDEX('Solar Power Plant Data'!H:H,ROW()-1))</f>
        <v>4638333</v>
      </c>
      <c r="G593" s="19">
        <f>IF(ROW()&lt;25,"",AVERAGE(OFFSET('Solar Power Plant Data'!H615,-23,0,24,1)))
</f>
        <v>1166104.292</v>
      </c>
      <c r="H593" s="21">
        <f>'Solar Power Plant Data'!H592/MAX('Solar Power Plant Data'!E592,0.0001)
</f>
        <v>81374.26316</v>
      </c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</row>
    <row r="594">
      <c r="A594" s="21">
        <f>HOUR('Solar Power Plant Data'!A593)</f>
        <v>2</v>
      </c>
      <c r="B594" s="21">
        <f>DAY('Solar Power Plant Data'!A593)</f>
        <v>10</v>
      </c>
      <c r="C594" s="21">
        <f>MONTH('Solar Power Plant Data'!A593)</f>
        <v>11</v>
      </c>
      <c r="D594" s="21" t="str">
        <f>TEXT('Solar Power Plant Data'!A593,"ddd")</f>
        <v>Fri</v>
      </c>
      <c r="E594" s="21">
        <f t="shared" si="1"/>
        <v>0</v>
      </c>
      <c r="F594" s="19">
        <f t="array" ref="F594">IF(ROW()&lt;25,"",INDEX('Solar Power Plant Data'!H:H,ROW()-1))</f>
        <v>1665001</v>
      </c>
      <c r="G594" s="19">
        <f>IF(ROW()&lt;25,"",AVERAGE(OFFSET('Solar Power Plant Data'!H616,-23,0,24,1)))
</f>
        <v>972863.625</v>
      </c>
      <c r="H594" s="21">
        <f>'Solar Power Plant Data'!H593/MAX('Solar Power Plant Data'!E593,0.0001)
</f>
        <v>16650010000</v>
      </c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</row>
    <row r="595">
      <c r="A595" s="21">
        <f>HOUR('Solar Power Plant Data'!A594)</f>
        <v>2</v>
      </c>
      <c r="B595" s="21">
        <f>DAY('Solar Power Plant Data'!A594)</f>
        <v>11</v>
      </c>
      <c r="C595" s="21">
        <f>MONTH('Solar Power Plant Data'!A594)</f>
        <v>11</v>
      </c>
      <c r="D595" s="21" t="str">
        <f>TEXT('Solar Power Plant Data'!A594,"ddd")</f>
        <v>Sat</v>
      </c>
      <c r="E595" s="21">
        <f t="shared" si="1"/>
        <v>1</v>
      </c>
      <c r="F595" s="19">
        <f t="array" ref="F595">IF(ROW()&lt;25,"",INDEX('Solar Power Plant Data'!H:H,ROW()-1))</f>
        <v>27</v>
      </c>
      <c r="G595" s="19">
        <f>IF(ROW()&lt;25,"",AVERAGE(OFFSET('Solar Power Plant Data'!H617,-23,0,24,1)))
</f>
        <v>1025224.667</v>
      </c>
      <c r="H595" s="21">
        <f>'Solar Power Plant Data'!H594/MAX('Solar Power Plant Data'!E594,0.0001)
</f>
        <v>270000</v>
      </c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</row>
    <row r="596">
      <c r="A596" s="21">
        <f>HOUR('Solar Power Plant Data'!A595)</f>
        <v>2</v>
      </c>
      <c r="B596" s="21">
        <f>DAY('Solar Power Plant Data'!A595)</f>
        <v>12</v>
      </c>
      <c r="C596" s="21">
        <f>MONTH('Solar Power Plant Data'!A595)</f>
        <v>11</v>
      </c>
      <c r="D596" s="21" t="str">
        <f>TEXT('Solar Power Plant Data'!A595,"ddd")</f>
        <v>Sun</v>
      </c>
      <c r="E596" s="21">
        <f t="shared" si="1"/>
        <v>1</v>
      </c>
      <c r="F596" s="19">
        <f t="array" ref="F596">IF(ROW()&lt;25,"",INDEX('Solar Power Plant Data'!H:H,ROW()-1))</f>
        <v>0</v>
      </c>
      <c r="G596" s="19">
        <f>IF(ROW()&lt;25,"",AVERAGE(OFFSET('Solar Power Plant Data'!H618,-23,0,24,1)))
</f>
        <v>1067445.75</v>
      </c>
      <c r="H596" s="21">
        <f>'Solar Power Plant Data'!H595/MAX('Solar Power Plant Data'!E595,0.0001)
</f>
        <v>0</v>
      </c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</row>
    <row r="597">
      <c r="A597" s="21">
        <f>HOUR('Solar Power Plant Data'!A596)</f>
        <v>2</v>
      </c>
      <c r="B597" s="21">
        <f>DAY('Solar Power Plant Data'!A596)</f>
        <v>13</v>
      </c>
      <c r="C597" s="21">
        <f>MONTH('Solar Power Plant Data'!A596)</f>
        <v>11</v>
      </c>
      <c r="D597" s="21" t="str">
        <f>TEXT('Solar Power Plant Data'!A596,"ddd")</f>
        <v>Mon</v>
      </c>
      <c r="E597" s="21">
        <f t="shared" si="1"/>
        <v>0</v>
      </c>
      <c r="F597" s="19">
        <f t="array" ref="F597">IF(ROW()&lt;25,"",INDEX('Solar Power Plant Data'!H:H,ROW()-1))</f>
        <v>0</v>
      </c>
      <c r="G597" s="19">
        <f>IF(ROW()&lt;25,"",AVERAGE(OFFSET('Solar Power Plant Data'!H619,-23,0,24,1)))
</f>
        <v>1067445.75</v>
      </c>
      <c r="H597" s="21">
        <f>'Solar Power Plant Data'!H596/MAX('Solar Power Plant Data'!E596,0.0001)
</f>
        <v>0</v>
      </c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</row>
    <row r="598">
      <c r="A598" s="21">
        <f>HOUR('Solar Power Plant Data'!A597)</f>
        <v>2</v>
      </c>
      <c r="B598" s="21">
        <f>DAY('Solar Power Plant Data'!A597)</f>
        <v>14</v>
      </c>
      <c r="C598" s="21">
        <f>MONTH('Solar Power Plant Data'!A597)</f>
        <v>11</v>
      </c>
      <c r="D598" s="21" t="str">
        <f>TEXT('Solar Power Plant Data'!A597,"ddd")</f>
        <v>Tue</v>
      </c>
      <c r="E598" s="21">
        <f t="shared" si="1"/>
        <v>0</v>
      </c>
      <c r="F598" s="19">
        <f t="array" ref="F598">IF(ROW()&lt;25,"",INDEX('Solar Power Plant Data'!H:H,ROW()-1))</f>
        <v>0</v>
      </c>
      <c r="G598" s="19">
        <f>IF(ROW()&lt;25,"",AVERAGE(OFFSET('Solar Power Plant Data'!H620,-23,0,24,1)))
</f>
        <v>1067445.75</v>
      </c>
      <c r="H598" s="21">
        <f>'Solar Power Plant Data'!H597/MAX('Solar Power Plant Data'!E597,0.0001)
</f>
        <v>0</v>
      </c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</row>
    <row r="599">
      <c r="A599" s="21">
        <f>HOUR('Solar Power Plant Data'!A598)</f>
        <v>2</v>
      </c>
      <c r="B599" s="21">
        <f>DAY('Solar Power Plant Data'!A598)</f>
        <v>15</v>
      </c>
      <c r="C599" s="21">
        <f>MONTH('Solar Power Plant Data'!A598)</f>
        <v>11</v>
      </c>
      <c r="D599" s="21" t="str">
        <f>TEXT('Solar Power Plant Data'!A598,"ddd")</f>
        <v>Wed</v>
      </c>
      <c r="E599" s="21">
        <f t="shared" si="1"/>
        <v>0</v>
      </c>
      <c r="F599" s="19">
        <f t="array" ref="F599">IF(ROW()&lt;25,"",INDEX('Solar Power Plant Data'!H:H,ROW()-1))</f>
        <v>0</v>
      </c>
      <c r="G599" s="19">
        <f>IF(ROW()&lt;25,"",AVERAGE(OFFSET('Solar Power Plant Data'!H621,-23,0,24,1)))
</f>
        <v>1067445.75</v>
      </c>
      <c r="H599" s="21">
        <f>'Solar Power Plant Data'!H598/MAX('Solar Power Plant Data'!E598,0.0001)
</f>
        <v>0</v>
      </c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</row>
    <row r="600">
      <c r="A600" s="21">
        <f>HOUR('Solar Power Plant Data'!A599)</f>
        <v>2</v>
      </c>
      <c r="B600" s="21">
        <f>DAY('Solar Power Plant Data'!A599)</f>
        <v>16</v>
      </c>
      <c r="C600" s="21">
        <f>MONTH('Solar Power Plant Data'!A599)</f>
        <v>11</v>
      </c>
      <c r="D600" s="21" t="str">
        <f>TEXT('Solar Power Plant Data'!A599,"ddd")</f>
        <v>Thu</v>
      </c>
      <c r="E600" s="21">
        <f t="shared" si="1"/>
        <v>0</v>
      </c>
      <c r="F600" s="19">
        <f t="array" ref="F600">IF(ROW()&lt;25,"",INDEX('Solar Power Plant Data'!H:H,ROW()-1))</f>
        <v>0</v>
      </c>
      <c r="G600" s="19">
        <f>IF(ROW()&lt;25,"",AVERAGE(OFFSET('Solar Power Plant Data'!H622,-23,0,24,1)))
</f>
        <v>1067445.75</v>
      </c>
      <c r="H600" s="21">
        <f>'Solar Power Plant Data'!H599/MAX('Solar Power Plant Data'!E599,0.0001)
</f>
        <v>0</v>
      </c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</row>
    <row r="601">
      <c r="A601" s="21">
        <f>HOUR('Solar Power Plant Data'!A600)</f>
        <v>2</v>
      </c>
      <c r="B601" s="21">
        <f>DAY('Solar Power Plant Data'!A600)</f>
        <v>17</v>
      </c>
      <c r="C601" s="21">
        <f>MONTH('Solar Power Plant Data'!A600)</f>
        <v>11</v>
      </c>
      <c r="D601" s="21" t="str">
        <f>TEXT('Solar Power Plant Data'!A600,"ddd")</f>
        <v>Fri</v>
      </c>
      <c r="E601" s="21">
        <f t="shared" si="1"/>
        <v>0</v>
      </c>
      <c r="F601" s="19">
        <f t="array" ref="F601">IF(ROW()&lt;25,"",INDEX('Solar Power Plant Data'!H:H,ROW()-1))</f>
        <v>0</v>
      </c>
      <c r="G601" s="19">
        <f>IF(ROW()&lt;25,"",AVERAGE(OFFSET('Solar Power Plant Data'!H623,-23,0,24,1)))
</f>
        <v>1067445.75</v>
      </c>
      <c r="H601" s="21">
        <f>'Solar Power Plant Data'!H600/MAX('Solar Power Plant Data'!E600,0.0001)
</f>
        <v>0</v>
      </c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</row>
    <row r="602">
      <c r="A602" s="21">
        <f>HOUR('Solar Power Plant Data'!A601)</f>
        <v>2</v>
      </c>
      <c r="B602" s="21">
        <f>DAY('Solar Power Plant Data'!A601)</f>
        <v>18</v>
      </c>
      <c r="C602" s="21">
        <f>MONTH('Solar Power Plant Data'!A601)</f>
        <v>11</v>
      </c>
      <c r="D602" s="21" t="str">
        <f>TEXT('Solar Power Plant Data'!A601,"ddd")</f>
        <v>Sat</v>
      </c>
      <c r="E602" s="21">
        <f t="shared" si="1"/>
        <v>1</v>
      </c>
      <c r="F602" s="19">
        <f t="array" ref="F602">IF(ROW()&lt;25,"",INDEX('Solar Power Plant Data'!H:H,ROW()-1))</f>
        <v>0</v>
      </c>
      <c r="G602" s="19">
        <f>IF(ROW()&lt;25,"",AVERAGE(OFFSET('Solar Power Plant Data'!H624,-23,0,24,1)))
</f>
        <v>1067445.75</v>
      </c>
      <c r="H602" s="21">
        <f>'Solar Power Plant Data'!H601/MAX('Solar Power Plant Data'!E601,0.0001)
</f>
        <v>0</v>
      </c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</row>
    <row r="603">
      <c r="A603" s="21">
        <f>HOUR('Solar Power Plant Data'!A602)</f>
        <v>2</v>
      </c>
      <c r="B603" s="21">
        <f>DAY('Solar Power Plant Data'!A602)</f>
        <v>19</v>
      </c>
      <c r="C603" s="21">
        <f>MONTH('Solar Power Plant Data'!A602)</f>
        <v>11</v>
      </c>
      <c r="D603" s="21" t="str">
        <f>TEXT('Solar Power Plant Data'!A602,"ddd")</f>
        <v>Sun</v>
      </c>
      <c r="E603" s="21">
        <f t="shared" si="1"/>
        <v>1</v>
      </c>
      <c r="F603" s="19">
        <f t="array" ref="F603">IF(ROW()&lt;25,"",INDEX('Solar Power Plant Data'!H:H,ROW()-1))</f>
        <v>0</v>
      </c>
      <c r="G603" s="19">
        <f>IF(ROW()&lt;25,"",AVERAGE(OFFSET('Solar Power Plant Data'!H625,-23,0,24,1)))
</f>
        <v>1067445.75</v>
      </c>
      <c r="H603" s="21">
        <f>'Solar Power Plant Data'!H602/MAX('Solar Power Plant Data'!E602,0.0001)
</f>
        <v>0</v>
      </c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</row>
    <row r="604">
      <c r="A604" s="21">
        <f>HOUR('Solar Power Plant Data'!A603)</f>
        <v>2</v>
      </c>
      <c r="B604" s="21">
        <f>DAY('Solar Power Plant Data'!A603)</f>
        <v>20</v>
      </c>
      <c r="C604" s="21">
        <f>MONTH('Solar Power Plant Data'!A603)</f>
        <v>11</v>
      </c>
      <c r="D604" s="21" t="str">
        <f>TEXT('Solar Power Plant Data'!A603,"ddd")</f>
        <v>Mon</v>
      </c>
      <c r="E604" s="21">
        <f t="shared" si="1"/>
        <v>0</v>
      </c>
      <c r="F604" s="19">
        <f t="array" ref="F604">IF(ROW()&lt;25,"",INDEX('Solar Power Plant Data'!H:H,ROW()-1))</f>
        <v>0</v>
      </c>
      <c r="G604" s="19">
        <f>IF(ROW()&lt;25,"",AVERAGE(OFFSET('Solar Power Plant Data'!H626,-23,0,24,1)))
</f>
        <v>1067445.75</v>
      </c>
      <c r="H604" s="21">
        <f>'Solar Power Plant Data'!H603/MAX('Solar Power Plant Data'!E603,0.0001)
</f>
        <v>0</v>
      </c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</row>
    <row r="605">
      <c r="A605" s="21">
        <f>HOUR('Solar Power Plant Data'!A604)</f>
        <v>2</v>
      </c>
      <c r="B605" s="21">
        <f>DAY('Solar Power Plant Data'!A604)</f>
        <v>21</v>
      </c>
      <c r="C605" s="21">
        <f>MONTH('Solar Power Plant Data'!A604)</f>
        <v>11</v>
      </c>
      <c r="D605" s="21" t="str">
        <f>TEXT('Solar Power Plant Data'!A604,"ddd")</f>
        <v>Tue</v>
      </c>
      <c r="E605" s="21">
        <f t="shared" si="1"/>
        <v>0</v>
      </c>
      <c r="F605" s="19">
        <f t="array" ref="F605">IF(ROW()&lt;25,"",INDEX('Solar Power Plant Data'!H:H,ROW()-1))</f>
        <v>0</v>
      </c>
      <c r="G605" s="19">
        <f>IF(ROW()&lt;25,"",AVERAGE(OFFSET('Solar Power Plant Data'!H627,-23,0,24,1)))
</f>
        <v>1067445.75</v>
      </c>
      <c r="H605" s="21">
        <f>'Solar Power Plant Data'!H604/MAX('Solar Power Plant Data'!E604,0.0001)
</f>
        <v>0</v>
      </c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</row>
    <row r="606">
      <c r="A606" s="21">
        <f>HOUR('Solar Power Plant Data'!A605)</f>
        <v>2</v>
      </c>
      <c r="B606" s="21">
        <f>DAY('Solar Power Plant Data'!A605)</f>
        <v>22</v>
      </c>
      <c r="C606" s="21">
        <f>MONTH('Solar Power Plant Data'!A605)</f>
        <v>11</v>
      </c>
      <c r="D606" s="21" t="str">
        <f>TEXT('Solar Power Plant Data'!A605,"ddd")</f>
        <v>Wed</v>
      </c>
      <c r="E606" s="21">
        <f t="shared" si="1"/>
        <v>0</v>
      </c>
      <c r="F606" s="19">
        <f t="array" ref="F606">IF(ROW()&lt;25,"",INDEX('Solar Power Plant Data'!H:H,ROW()-1))</f>
        <v>0</v>
      </c>
      <c r="G606" s="19">
        <f>IF(ROW()&lt;25,"",AVERAGE(OFFSET('Solar Power Plant Data'!H628,-23,0,24,1)))
</f>
        <v>1067445.75</v>
      </c>
      <c r="H606" s="21">
        <f>'Solar Power Plant Data'!H605/MAX('Solar Power Plant Data'!E605,0.0001)
</f>
        <v>0</v>
      </c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</row>
    <row r="607">
      <c r="A607" s="21">
        <f>HOUR('Solar Power Plant Data'!A606)</f>
        <v>2</v>
      </c>
      <c r="B607" s="21">
        <f>DAY('Solar Power Plant Data'!A606)</f>
        <v>23</v>
      </c>
      <c r="C607" s="21">
        <f>MONTH('Solar Power Plant Data'!A606)</f>
        <v>11</v>
      </c>
      <c r="D607" s="21" t="str">
        <f>TEXT('Solar Power Plant Data'!A606,"ddd")</f>
        <v>Thu</v>
      </c>
      <c r="E607" s="21">
        <f t="shared" si="1"/>
        <v>0</v>
      </c>
      <c r="F607" s="19">
        <f t="array" ref="F607">IF(ROW()&lt;25,"",INDEX('Solar Power Plant Data'!H:H,ROW()-1))</f>
        <v>0</v>
      </c>
      <c r="G607" s="19">
        <f>IF(ROW()&lt;25,"",AVERAGE(OFFSET('Solar Power Plant Data'!H629,-23,0,24,1)))
</f>
        <v>1067445.75</v>
      </c>
      <c r="H607" s="21">
        <f>'Solar Power Plant Data'!H606/MAX('Solar Power Plant Data'!E606,0.0001)
</f>
        <v>0</v>
      </c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</row>
    <row r="608">
      <c r="A608" s="21">
        <f>HOUR('Solar Power Plant Data'!A607)</f>
        <v>2</v>
      </c>
      <c r="B608" s="21">
        <f>DAY('Solar Power Plant Data'!A607)</f>
        <v>24</v>
      </c>
      <c r="C608" s="21">
        <f>MONTH('Solar Power Plant Data'!A607)</f>
        <v>11</v>
      </c>
      <c r="D608" s="21" t="str">
        <f>TEXT('Solar Power Plant Data'!A607,"ddd")</f>
        <v>Fri</v>
      </c>
      <c r="E608" s="21">
        <f t="shared" si="1"/>
        <v>0</v>
      </c>
      <c r="F608" s="19">
        <f t="array" ref="F608">IF(ROW()&lt;25,"",INDEX('Solar Power Plant Data'!H:H,ROW()-1))</f>
        <v>0</v>
      </c>
      <c r="G608" s="19">
        <f>IF(ROW()&lt;25,"",AVERAGE(OFFSET('Solar Power Plant Data'!H630,-23,0,24,1)))
</f>
        <v>1067445.75</v>
      </c>
      <c r="H608" s="21">
        <f>'Solar Power Plant Data'!H607/MAX('Solar Power Plant Data'!E607,0.0001)
</f>
        <v>0</v>
      </c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</row>
    <row r="609">
      <c r="A609" s="21">
        <f>HOUR('Solar Power Plant Data'!A608)</f>
        <v>2</v>
      </c>
      <c r="B609" s="21">
        <f>DAY('Solar Power Plant Data'!A608)</f>
        <v>25</v>
      </c>
      <c r="C609" s="21">
        <f>MONTH('Solar Power Plant Data'!A608)</f>
        <v>11</v>
      </c>
      <c r="D609" s="21" t="str">
        <f>TEXT('Solar Power Plant Data'!A608,"ddd")</f>
        <v>Sat</v>
      </c>
      <c r="E609" s="21">
        <f t="shared" si="1"/>
        <v>1</v>
      </c>
      <c r="F609" s="19">
        <f t="array" ref="F609">IF(ROW()&lt;25,"",INDEX('Solar Power Plant Data'!H:H,ROW()-1))</f>
        <v>0</v>
      </c>
      <c r="G609" s="19">
        <f>IF(ROW()&lt;25,"",AVERAGE(OFFSET('Solar Power Plant Data'!H631,-23,0,24,1)))
</f>
        <v>1067445.75</v>
      </c>
      <c r="H609" s="21">
        <f>'Solar Power Plant Data'!H608/MAX('Solar Power Plant Data'!E608,0.0001)
</f>
        <v>0</v>
      </c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</row>
    <row r="610">
      <c r="A610" s="21">
        <f>HOUR('Solar Power Plant Data'!A609)</f>
        <v>2</v>
      </c>
      <c r="B610" s="21">
        <f>DAY('Solar Power Plant Data'!A609)</f>
        <v>26</v>
      </c>
      <c r="C610" s="21">
        <f>MONTH('Solar Power Plant Data'!A609)</f>
        <v>11</v>
      </c>
      <c r="D610" s="21" t="str">
        <f>TEXT('Solar Power Plant Data'!A609,"ddd")</f>
        <v>Sun</v>
      </c>
      <c r="E610" s="21">
        <f t="shared" si="1"/>
        <v>1</v>
      </c>
      <c r="F610" s="19">
        <f t="array" ref="F610">IF(ROW()&lt;25,"",INDEX('Solar Power Plant Data'!H:H,ROW()-1))</f>
        <v>0</v>
      </c>
      <c r="G610" s="19">
        <f>IF(ROW()&lt;25,"",AVERAGE(OFFSET('Solar Power Plant Data'!H632,-23,0,24,1)))
</f>
        <v>1067445.75</v>
      </c>
      <c r="H610" s="21">
        <f>'Solar Power Plant Data'!H609/MAX('Solar Power Plant Data'!E609,0.0001)
</f>
        <v>0</v>
      </c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</row>
    <row r="611">
      <c r="A611" s="21">
        <f>HOUR('Solar Power Plant Data'!A610)</f>
        <v>2</v>
      </c>
      <c r="B611" s="21">
        <f>DAY('Solar Power Plant Data'!A610)</f>
        <v>27</v>
      </c>
      <c r="C611" s="21">
        <f>MONTH('Solar Power Plant Data'!A610)</f>
        <v>11</v>
      </c>
      <c r="D611" s="21" t="str">
        <f>TEXT('Solar Power Plant Data'!A610,"ddd")</f>
        <v>Mon</v>
      </c>
      <c r="E611" s="21">
        <f t="shared" si="1"/>
        <v>0</v>
      </c>
      <c r="F611" s="19">
        <f t="array" ref="F611">IF(ROW()&lt;25,"",INDEX('Solar Power Plant Data'!H:H,ROW()-1))</f>
        <v>0</v>
      </c>
      <c r="G611" s="19">
        <f>IF(ROW()&lt;25,"",AVERAGE(OFFSET('Solar Power Plant Data'!H633,-23,0,24,1)))
</f>
        <v>1067445.75</v>
      </c>
      <c r="H611" s="21">
        <f>'Solar Power Plant Data'!H610/MAX('Solar Power Plant Data'!E610,0.0001)
</f>
        <v>0</v>
      </c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</row>
    <row r="612">
      <c r="A612" s="21">
        <f>HOUR('Solar Power Plant Data'!A611)</f>
        <v>2</v>
      </c>
      <c r="B612" s="21">
        <f>DAY('Solar Power Plant Data'!A611)</f>
        <v>28</v>
      </c>
      <c r="C612" s="21">
        <f>MONTH('Solar Power Plant Data'!A611)</f>
        <v>11</v>
      </c>
      <c r="D612" s="21" t="str">
        <f>TEXT('Solar Power Plant Data'!A611,"ddd")</f>
        <v>Tue</v>
      </c>
      <c r="E612" s="21">
        <f t="shared" si="1"/>
        <v>0</v>
      </c>
      <c r="F612" s="19">
        <f t="array" ref="F612">IF(ROW()&lt;25,"",INDEX('Solar Power Plant Data'!H:H,ROW()-1))</f>
        <v>0</v>
      </c>
      <c r="G612" s="19">
        <f>IF(ROW()&lt;25,"",AVERAGE(OFFSET('Solar Power Plant Data'!H634,-23,0,24,1)))
</f>
        <v>1067445.75</v>
      </c>
      <c r="H612" s="21">
        <f>'Solar Power Plant Data'!H611/MAX('Solar Power Plant Data'!E611,0.0001)
</f>
        <v>0</v>
      </c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</row>
    <row r="613">
      <c r="A613" s="21">
        <f>HOUR('Solar Power Plant Data'!A612)</f>
        <v>2</v>
      </c>
      <c r="B613" s="21">
        <f>DAY('Solar Power Plant Data'!A612)</f>
        <v>29</v>
      </c>
      <c r="C613" s="21">
        <f>MONTH('Solar Power Plant Data'!A612)</f>
        <v>11</v>
      </c>
      <c r="D613" s="21" t="str">
        <f>TEXT('Solar Power Plant Data'!A612,"ddd")</f>
        <v>Wed</v>
      </c>
      <c r="E613" s="21">
        <f t="shared" si="1"/>
        <v>0</v>
      </c>
      <c r="F613" s="19">
        <f t="array" ref="F613">IF(ROW()&lt;25,"",INDEX('Solar Power Plant Data'!H:H,ROW()-1))</f>
        <v>20</v>
      </c>
      <c r="G613" s="19">
        <f>IF(ROW()&lt;25,"",AVERAGE(OFFSET('Solar Power Plant Data'!H635,-23,0,24,1)))
</f>
        <v>1067445.75</v>
      </c>
      <c r="H613" s="21">
        <f>'Solar Power Plant Data'!H612/MAX('Solar Power Plant Data'!E612,0.0001)
</f>
        <v>200000</v>
      </c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</row>
    <row r="614">
      <c r="A614" s="21">
        <f>HOUR('Solar Power Plant Data'!A613)</f>
        <v>2</v>
      </c>
      <c r="B614" s="21">
        <f>DAY('Solar Power Plant Data'!A613)</f>
        <v>30</v>
      </c>
      <c r="C614" s="21">
        <f>MONTH('Solar Power Plant Data'!A613)</f>
        <v>11</v>
      </c>
      <c r="D614" s="21" t="str">
        <f>TEXT('Solar Power Plant Data'!A613,"ddd")</f>
        <v>Thu</v>
      </c>
      <c r="E614" s="21">
        <f t="shared" si="1"/>
        <v>0</v>
      </c>
      <c r="F614" s="19">
        <f t="array" ref="F614">IF(ROW()&lt;25,"",INDEX('Solar Power Plant Data'!H:H,ROW()-1))</f>
        <v>5618334</v>
      </c>
      <c r="G614" s="19">
        <f>IF(ROW()&lt;25,"",AVERAGE(OFFSET('Solar Power Plant Data'!H636,-23,0,24,1)))
</f>
        <v>1067444.917</v>
      </c>
      <c r="H614" s="21">
        <f>'Solar Power Plant Data'!H613/MAX('Solar Power Plant Data'!E613,0.0001)
</f>
        <v>56183340000</v>
      </c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</row>
    <row r="615">
      <c r="A615" s="21">
        <f>HOUR('Solar Power Plant Data'!A614)</f>
        <v>2</v>
      </c>
      <c r="B615" s="21">
        <f>DAY('Solar Power Plant Data'!A614)</f>
        <v>1</v>
      </c>
      <c r="C615" s="21">
        <f>MONTH('Solar Power Plant Data'!A614)</f>
        <v>12</v>
      </c>
      <c r="D615" s="21" t="str">
        <f>TEXT('Solar Power Plant Data'!A614,"ddd")</f>
        <v>Fri</v>
      </c>
      <c r="E615" s="21">
        <f t="shared" si="1"/>
        <v>0</v>
      </c>
      <c r="F615" s="19">
        <f t="array" ref="F615">IF(ROW()&lt;25,"",INDEX('Solar Power Plant Data'!H:H,ROW()-1))</f>
        <v>1455</v>
      </c>
      <c r="G615" s="19">
        <f>IF(ROW()&lt;25,"",AVERAGE(OFFSET('Solar Power Plant Data'!H637,-23,0,24,1)))
</f>
        <v>833347.6667</v>
      </c>
      <c r="H615" s="21">
        <f>'Solar Power Plant Data'!H614/MAX('Solar Power Plant Data'!E614,0.0001)
</f>
        <v>14550000</v>
      </c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</row>
    <row r="616">
      <c r="A616" s="21">
        <f>HOUR('Solar Power Plant Data'!A615)</f>
        <v>2</v>
      </c>
      <c r="B616" s="21">
        <f>DAY('Solar Power Plant Data'!A615)</f>
        <v>2</v>
      </c>
      <c r="C616" s="21">
        <f>MONTH('Solar Power Plant Data'!A615)</f>
        <v>12</v>
      </c>
      <c r="D616" s="21" t="str">
        <f>TEXT('Solar Power Plant Data'!A615,"ddd")</f>
        <v>Sat</v>
      </c>
      <c r="E616" s="21">
        <f t="shared" si="1"/>
        <v>1</v>
      </c>
      <c r="F616" s="19">
        <f t="array" ref="F616">IF(ROW()&lt;25,"",INDEX('Solar Power Plant Data'!H:H,ROW()-1))</f>
        <v>16063333</v>
      </c>
      <c r="G616" s="19">
        <f>IF(ROW()&lt;25,"",AVERAGE(OFFSET('Solar Power Plant Data'!H638,-23,0,24,1)))
</f>
        <v>833287.0417</v>
      </c>
      <c r="H616" s="21">
        <f>'Solar Power Plant Data'!H615/MAX('Solar Power Plant Data'!E615,0.0001)
</f>
        <v>160633330000</v>
      </c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</row>
    <row r="617">
      <c r="A617" s="21">
        <f>HOUR('Solar Power Plant Data'!A616)</f>
        <v>2</v>
      </c>
      <c r="B617" s="21">
        <f>DAY('Solar Power Plant Data'!A616)</f>
        <v>3</v>
      </c>
      <c r="C617" s="21">
        <f>MONTH('Solar Power Plant Data'!A616)</f>
        <v>12</v>
      </c>
      <c r="D617" s="21" t="str">
        <f>TEXT('Solar Power Plant Data'!A616,"ddd")</f>
        <v>Sun</v>
      </c>
      <c r="E617" s="21">
        <f t="shared" si="1"/>
        <v>1</v>
      </c>
      <c r="F617" s="19">
        <f t="array" ref="F617">IF(ROW()&lt;25,"",INDEX('Solar Power Plant Data'!H:H,ROW()-1))</f>
        <v>557</v>
      </c>
      <c r="G617" s="19">
        <f>IF(ROW()&lt;25,"",AVERAGE(OFFSET('Solar Power Plant Data'!H639,-23,0,24,1)))
</f>
        <v>163981.5</v>
      </c>
      <c r="H617" s="21">
        <f>'Solar Power Plant Data'!H616/MAX('Solar Power Plant Data'!E616,0.0001)
</f>
        <v>8.983870968</v>
      </c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</row>
    <row r="618">
      <c r="A618" s="21">
        <f>HOUR('Solar Power Plant Data'!A617)</f>
        <v>2</v>
      </c>
      <c r="B618" s="21">
        <f>DAY('Solar Power Plant Data'!A617)</f>
        <v>4</v>
      </c>
      <c r="C618" s="21">
        <f>MONTH('Solar Power Plant Data'!A617)</f>
        <v>12</v>
      </c>
      <c r="D618" s="21" t="str">
        <f>TEXT('Solar Power Plant Data'!A617,"ddd")</f>
        <v>Mon</v>
      </c>
      <c r="E618" s="21">
        <f t="shared" si="1"/>
        <v>0</v>
      </c>
      <c r="F618" s="19">
        <f t="array" ref="F618">IF(ROW()&lt;25,"",INDEX('Solar Power Plant Data'!H:H,ROW()-1))</f>
        <v>2921666</v>
      </c>
      <c r="G618" s="19">
        <f>IF(ROW()&lt;25,"",AVERAGE(OFFSET('Solar Power Plant Data'!H640,-23,0,24,1)))
</f>
        <v>163958.2917</v>
      </c>
      <c r="H618" s="21">
        <f>'Solar Power Plant Data'!H617/MAX('Solar Power Plant Data'!E617,0.0001)
</f>
        <v>29216660000</v>
      </c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</row>
    <row r="619">
      <c r="A619" s="21">
        <f>HOUR('Solar Power Plant Data'!A618)</f>
        <v>2</v>
      </c>
      <c r="B619" s="21">
        <f>DAY('Solar Power Plant Data'!A618)</f>
        <v>5</v>
      </c>
      <c r="C619" s="21">
        <f>MONTH('Solar Power Plant Data'!A618)</f>
        <v>12</v>
      </c>
      <c r="D619" s="21" t="str">
        <f>TEXT('Solar Power Plant Data'!A618,"ddd")</f>
        <v>Tue</v>
      </c>
      <c r="E619" s="21">
        <f t="shared" si="1"/>
        <v>0</v>
      </c>
      <c r="F619" s="19">
        <f t="array" ref="F619">IF(ROW()&lt;25,"",INDEX('Solar Power Plant Data'!H:H,ROW()-1))</f>
        <v>1013333</v>
      </c>
      <c r="G619" s="19">
        <f>IF(ROW()&lt;25,"",AVERAGE(OFFSET('Solar Power Plant Data'!H641,-23,0,24,1)))
</f>
        <v>42222.20833</v>
      </c>
      <c r="H619" s="21">
        <f>'Solar Power Plant Data'!H618/MAX('Solar Power Plant Data'!E618,0.0001)
</f>
        <v>10133330000</v>
      </c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</row>
    <row r="620">
      <c r="A620" s="21">
        <f>HOUR('Solar Power Plant Data'!A619)</f>
        <v>2</v>
      </c>
      <c r="B620" s="21">
        <f>DAY('Solar Power Plant Data'!A619)</f>
        <v>6</v>
      </c>
      <c r="C620" s="21">
        <f>MONTH('Solar Power Plant Data'!A619)</f>
        <v>12</v>
      </c>
      <c r="D620" s="21" t="str">
        <f>TEXT('Solar Power Plant Data'!A619,"ddd")</f>
        <v>Wed</v>
      </c>
      <c r="E620" s="21">
        <f t="shared" si="1"/>
        <v>0</v>
      </c>
      <c r="F620" s="19">
        <f t="array" ref="F620">IF(ROW()&lt;25,"",INDEX('Solar Power Plant Data'!H:H,ROW()-1))</f>
        <v>0</v>
      </c>
      <c r="G620" s="19">
        <f>IF(ROW()&lt;25,"",AVERAGE(OFFSET('Solar Power Plant Data'!H642,-23,0,24,1)))
</f>
        <v>0</v>
      </c>
      <c r="H620" s="21">
        <f>'Solar Power Plant Data'!H619/MAX('Solar Power Plant Data'!E619,0.0001)
</f>
        <v>0</v>
      </c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</row>
    <row r="621">
      <c r="A621" s="21">
        <f>HOUR('Solar Power Plant Data'!A620)</f>
        <v>2</v>
      </c>
      <c r="B621" s="21">
        <f>DAY('Solar Power Plant Data'!A620)</f>
        <v>7</v>
      </c>
      <c r="C621" s="21">
        <f>MONTH('Solar Power Plant Data'!A620)</f>
        <v>12</v>
      </c>
      <c r="D621" s="21" t="str">
        <f>TEXT('Solar Power Plant Data'!A620,"ddd")</f>
        <v>Thu</v>
      </c>
      <c r="E621" s="21">
        <f t="shared" si="1"/>
        <v>0</v>
      </c>
      <c r="F621" s="19">
        <f t="array" ref="F621">IF(ROW()&lt;25,"",INDEX('Solar Power Plant Data'!H:H,ROW()-1))</f>
        <v>0</v>
      </c>
      <c r="G621" s="19">
        <f>IF(ROW()&lt;25,"",AVERAGE(OFFSET('Solar Power Plant Data'!H643,-23,0,24,1)))
</f>
        <v>0</v>
      </c>
      <c r="H621" s="21">
        <f>'Solar Power Plant Data'!H620/MAX('Solar Power Plant Data'!E620,0.0001)
</f>
        <v>0</v>
      </c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</row>
    <row r="622">
      <c r="A622" s="21">
        <f>HOUR('Solar Power Plant Data'!A621)</f>
        <v>2</v>
      </c>
      <c r="B622" s="21">
        <f>DAY('Solar Power Plant Data'!A621)</f>
        <v>8</v>
      </c>
      <c r="C622" s="21">
        <f>MONTH('Solar Power Plant Data'!A621)</f>
        <v>12</v>
      </c>
      <c r="D622" s="21" t="str">
        <f>TEXT('Solar Power Plant Data'!A621,"ddd")</f>
        <v>Fri</v>
      </c>
      <c r="E622" s="21">
        <f t="shared" si="1"/>
        <v>0</v>
      </c>
      <c r="F622" s="19">
        <f t="array" ref="F622">IF(ROW()&lt;25,"",INDEX('Solar Power Plant Data'!H:H,ROW()-1))</f>
        <v>0</v>
      </c>
      <c r="G622" s="19">
        <f>IF(ROW()&lt;25,"",AVERAGE(OFFSET('Solar Power Plant Data'!H644,-23,0,24,1)))
</f>
        <v>0</v>
      </c>
      <c r="H622" s="21">
        <f>'Solar Power Plant Data'!H621/MAX('Solar Power Plant Data'!E621,0.0001)
</f>
        <v>0</v>
      </c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</row>
    <row r="623">
      <c r="A623" s="21">
        <f>HOUR('Solar Power Plant Data'!A622)</f>
        <v>2</v>
      </c>
      <c r="B623" s="21">
        <f>DAY('Solar Power Plant Data'!A622)</f>
        <v>9</v>
      </c>
      <c r="C623" s="21">
        <f>MONTH('Solar Power Plant Data'!A622)</f>
        <v>12</v>
      </c>
      <c r="D623" s="21" t="str">
        <f>TEXT('Solar Power Plant Data'!A622,"ddd")</f>
        <v>Sat</v>
      </c>
      <c r="E623" s="21">
        <f t="shared" si="1"/>
        <v>1</v>
      </c>
      <c r="F623" s="19">
        <f t="array" ref="F623">IF(ROW()&lt;25,"",INDEX('Solar Power Plant Data'!H:H,ROW()-1))</f>
        <v>0</v>
      </c>
      <c r="G623" s="19">
        <f>IF(ROW()&lt;25,"",AVERAGE(OFFSET('Solar Power Plant Data'!H645,-23,0,24,1)))
</f>
        <v>0</v>
      </c>
      <c r="H623" s="21">
        <f>'Solar Power Plant Data'!H622/MAX('Solar Power Plant Data'!E622,0.0001)
</f>
        <v>0</v>
      </c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</row>
    <row r="624">
      <c r="A624" s="21">
        <f>HOUR('Solar Power Plant Data'!A623)</f>
        <v>2</v>
      </c>
      <c r="B624" s="21">
        <f>DAY('Solar Power Plant Data'!A623)</f>
        <v>10</v>
      </c>
      <c r="C624" s="21">
        <f>MONTH('Solar Power Plant Data'!A623)</f>
        <v>12</v>
      </c>
      <c r="D624" s="21" t="str">
        <f>TEXT('Solar Power Plant Data'!A623,"ddd")</f>
        <v>Sun</v>
      </c>
      <c r="E624" s="21">
        <f t="shared" si="1"/>
        <v>1</v>
      </c>
      <c r="F624" s="19">
        <f t="array" ref="F624">IF(ROW()&lt;25,"",INDEX('Solar Power Plant Data'!H:H,ROW()-1))</f>
        <v>0</v>
      </c>
      <c r="G624" s="19">
        <f>IF(ROW()&lt;25,"",AVERAGE(OFFSET('Solar Power Plant Data'!H646,-23,0,24,1)))
</f>
        <v>0</v>
      </c>
      <c r="H624" s="21">
        <f>'Solar Power Plant Data'!H623/MAX('Solar Power Plant Data'!E623,0.0001)
</f>
        <v>0</v>
      </c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</row>
    <row r="625">
      <c r="A625" s="21">
        <f>HOUR('Solar Power Plant Data'!A624)</f>
        <v>2</v>
      </c>
      <c r="B625" s="21">
        <f>DAY('Solar Power Plant Data'!A624)</f>
        <v>11</v>
      </c>
      <c r="C625" s="21">
        <f>MONTH('Solar Power Plant Data'!A624)</f>
        <v>12</v>
      </c>
      <c r="D625" s="21" t="str">
        <f>TEXT('Solar Power Plant Data'!A624,"ddd")</f>
        <v>Mon</v>
      </c>
      <c r="E625" s="21">
        <f t="shared" si="1"/>
        <v>0</v>
      </c>
      <c r="F625" s="19">
        <f t="array" ref="F625">IF(ROW()&lt;25,"",INDEX('Solar Power Plant Data'!H:H,ROW()-1))</f>
        <v>0</v>
      </c>
      <c r="G625" s="19">
        <f>IF(ROW()&lt;25,"",AVERAGE(OFFSET('Solar Power Plant Data'!H647,-23,0,24,1)))
</f>
        <v>0</v>
      </c>
      <c r="H625" s="21">
        <f>'Solar Power Plant Data'!H624/MAX('Solar Power Plant Data'!E624,0.0001)
</f>
        <v>0</v>
      </c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</row>
    <row r="626">
      <c r="A626" s="21">
        <f>HOUR('Solar Power Plant Data'!A625)</f>
        <v>2</v>
      </c>
      <c r="B626" s="21">
        <f>DAY('Solar Power Plant Data'!A625)</f>
        <v>12</v>
      </c>
      <c r="C626" s="21">
        <f>MONTH('Solar Power Plant Data'!A625)</f>
        <v>12</v>
      </c>
      <c r="D626" s="21" t="str">
        <f>TEXT('Solar Power Plant Data'!A625,"ddd")</f>
        <v>Tue</v>
      </c>
      <c r="E626" s="21">
        <f t="shared" si="1"/>
        <v>0</v>
      </c>
      <c r="F626" s="19">
        <f t="array" ref="F626">IF(ROW()&lt;25,"",INDEX('Solar Power Plant Data'!H:H,ROW()-1))</f>
        <v>0</v>
      </c>
      <c r="G626" s="19">
        <f>IF(ROW()&lt;25,"",AVERAGE(OFFSET('Solar Power Plant Data'!H648,-23,0,24,1)))
</f>
        <v>0</v>
      </c>
      <c r="H626" s="21">
        <f>'Solar Power Plant Data'!H625/MAX('Solar Power Plant Data'!E625,0.0001)
</f>
        <v>0</v>
      </c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</row>
    <row r="627">
      <c r="A627" s="21">
        <f>HOUR('Solar Power Plant Data'!A626)</f>
        <v>2</v>
      </c>
      <c r="B627" s="21">
        <f>DAY('Solar Power Plant Data'!A626)</f>
        <v>13</v>
      </c>
      <c r="C627" s="21">
        <f>MONTH('Solar Power Plant Data'!A626)</f>
        <v>12</v>
      </c>
      <c r="D627" s="21" t="str">
        <f>TEXT('Solar Power Plant Data'!A626,"ddd")</f>
        <v>Wed</v>
      </c>
      <c r="E627" s="21">
        <f t="shared" si="1"/>
        <v>0</v>
      </c>
      <c r="F627" s="19">
        <f t="array" ref="F627">IF(ROW()&lt;25,"",INDEX('Solar Power Plant Data'!H:H,ROW()-1))</f>
        <v>0</v>
      </c>
      <c r="G627" s="19">
        <f>IF(ROW()&lt;25,"",AVERAGE(OFFSET('Solar Power Plant Data'!H649,-23,0,24,1)))
</f>
        <v>0</v>
      </c>
      <c r="H627" s="21">
        <f>'Solar Power Plant Data'!H626/MAX('Solar Power Plant Data'!E626,0.0001)
</f>
        <v>0</v>
      </c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</row>
    <row r="628">
      <c r="A628" s="21">
        <f>HOUR('Solar Power Plant Data'!A627)</f>
        <v>2</v>
      </c>
      <c r="B628" s="21">
        <f>DAY('Solar Power Plant Data'!A627)</f>
        <v>14</v>
      </c>
      <c r="C628" s="21">
        <f>MONTH('Solar Power Plant Data'!A627)</f>
        <v>12</v>
      </c>
      <c r="D628" s="21" t="str">
        <f>TEXT('Solar Power Plant Data'!A627,"ddd")</f>
        <v>Thu</v>
      </c>
      <c r="E628" s="21">
        <f t="shared" si="1"/>
        <v>0</v>
      </c>
      <c r="F628" s="19">
        <f t="array" ref="F628">IF(ROW()&lt;25,"",INDEX('Solar Power Plant Data'!H:H,ROW()-1))</f>
        <v>0</v>
      </c>
      <c r="G628" s="19">
        <f>IF(ROW()&lt;25,"",AVERAGE(OFFSET('Solar Power Plant Data'!H650,-23,0,24,1)))
</f>
        <v>0</v>
      </c>
      <c r="H628" s="21">
        <f>'Solar Power Plant Data'!H627/MAX('Solar Power Plant Data'!E627,0.0001)
</f>
        <v>0</v>
      </c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</row>
    <row r="629">
      <c r="A629" s="21">
        <f>HOUR('Solar Power Plant Data'!A628)</f>
        <v>2</v>
      </c>
      <c r="B629" s="21">
        <f>DAY('Solar Power Plant Data'!A628)</f>
        <v>15</v>
      </c>
      <c r="C629" s="21">
        <f>MONTH('Solar Power Plant Data'!A628)</f>
        <v>12</v>
      </c>
      <c r="D629" s="21" t="str">
        <f>TEXT('Solar Power Plant Data'!A628,"ddd")</f>
        <v>Fri</v>
      </c>
      <c r="E629" s="21">
        <f t="shared" si="1"/>
        <v>0</v>
      </c>
      <c r="F629" s="19">
        <f t="array" ref="F629">IF(ROW()&lt;25,"",INDEX('Solar Power Plant Data'!H:H,ROW()-1))</f>
        <v>0</v>
      </c>
      <c r="G629" s="19">
        <f>IF(ROW()&lt;25,"",AVERAGE(OFFSET('Solar Power Plant Data'!H651,-23,0,24,1)))
</f>
        <v>0</v>
      </c>
      <c r="H629" s="21">
        <f>'Solar Power Plant Data'!H628/MAX('Solar Power Plant Data'!E628,0.0001)
</f>
        <v>0</v>
      </c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</row>
    <row r="630">
      <c r="A630" s="21">
        <f>HOUR('Solar Power Plant Data'!A629)</f>
        <v>2</v>
      </c>
      <c r="B630" s="21">
        <f>DAY('Solar Power Plant Data'!A629)</f>
        <v>16</v>
      </c>
      <c r="C630" s="21">
        <f>MONTH('Solar Power Plant Data'!A629)</f>
        <v>12</v>
      </c>
      <c r="D630" s="21" t="str">
        <f>TEXT('Solar Power Plant Data'!A629,"ddd")</f>
        <v>Sat</v>
      </c>
      <c r="E630" s="21">
        <f t="shared" si="1"/>
        <v>1</v>
      </c>
      <c r="F630" s="19">
        <f t="array" ref="F630">IF(ROW()&lt;25,"",INDEX('Solar Power Plant Data'!H:H,ROW()-1))</f>
        <v>0</v>
      </c>
      <c r="G630" s="19">
        <f>IF(ROW()&lt;25,"",AVERAGE(OFFSET('Solar Power Plant Data'!H652,-23,0,24,1)))
</f>
        <v>0</v>
      </c>
      <c r="H630" s="21">
        <f>'Solar Power Plant Data'!H629/MAX('Solar Power Plant Data'!E629,0.0001)
</f>
        <v>0</v>
      </c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</row>
    <row r="631">
      <c r="A631" s="21">
        <f>HOUR('Solar Power Plant Data'!A630)</f>
        <v>2</v>
      </c>
      <c r="B631" s="21">
        <f>DAY('Solar Power Plant Data'!A630)</f>
        <v>17</v>
      </c>
      <c r="C631" s="21">
        <f>MONTH('Solar Power Plant Data'!A630)</f>
        <v>12</v>
      </c>
      <c r="D631" s="21" t="str">
        <f>TEXT('Solar Power Plant Data'!A630,"ddd")</f>
        <v>Sun</v>
      </c>
      <c r="E631" s="21">
        <f t="shared" si="1"/>
        <v>1</v>
      </c>
      <c r="F631" s="19">
        <f t="array" ref="F631">IF(ROW()&lt;25,"",INDEX('Solar Power Plant Data'!H:H,ROW()-1))</f>
        <v>0</v>
      </c>
      <c r="G631" s="19">
        <f>IF(ROW()&lt;25,"",AVERAGE(OFFSET('Solar Power Plant Data'!H653,-23,0,24,1)))
</f>
        <v>0</v>
      </c>
      <c r="H631" s="21">
        <f>'Solar Power Plant Data'!H630/MAX('Solar Power Plant Data'!E630,0.0001)
</f>
        <v>0</v>
      </c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</row>
    <row r="632">
      <c r="A632" s="21">
        <f>HOUR('Solar Power Plant Data'!A631)</f>
        <v>2</v>
      </c>
      <c r="B632" s="21">
        <f>DAY('Solar Power Plant Data'!A631)</f>
        <v>18</v>
      </c>
      <c r="C632" s="21">
        <f>MONTH('Solar Power Plant Data'!A631)</f>
        <v>12</v>
      </c>
      <c r="D632" s="21" t="str">
        <f>TEXT('Solar Power Plant Data'!A631,"ddd")</f>
        <v>Mon</v>
      </c>
      <c r="E632" s="21">
        <f t="shared" si="1"/>
        <v>0</v>
      </c>
      <c r="F632" s="19">
        <f t="array" ref="F632">IF(ROW()&lt;25,"",INDEX('Solar Power Plant Data'!H:H,ROW()-1))</f>
        <v>0</v>
      </c>
      <c r="G632" s="19">
        <f>IF(ROW()&lt;25,"",AVERAGE(OFFSET('Solar Power Plant Data'!H654,-23,0,24,1)))
</f>
        <v>0</v>
      </c>
      <c r="H632" s="21">
        <f>'Solar Power Plant Data'!H631/MAX('Solar Power Plant Data'!E631,0.0001)
</f>
        <v>0</v>
      </c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</row>
    <row r="633">
      <c r="A633" s="21">
        <f>HOUR('Solar Power Plant Data'!A632)</f>
        <v>2</v>
      </c>
      <c r="B633" s="21">
        <f>DAY('Solar Power Plant Data'!A632)</f>
        <v>19</v>
      </c>
      <c r="C633" s="21">
        <f>MONTH('Solar Power Plant Data'!A632)</f>
        <v>12</v>
      </c>
      <c r="D633" s="21" t="str">
        <f>TEXT('Solar Power Plant Data'!A632,"ddd")</f>
        <v>Tue</v>
      </c>
      <c r="E633" s="21">
        <f t="shared" si="1"/>
        <v>0</v>
      </c>
      <c r="F633" s="19">
        <f t="array" ref="F633">IF(ROW()&lt;25,"",INDEX('Solar Power Plant Data'!H:H,ROW()-1))</f>
        <v>0</v>
      </c>
      <c r="G633" s="19">
        <f>IF(ROW()&lt;25,"",AVERAGE(OFFSET('Solar Power Plant Data'!H655,-23,0,24,1)))
</f>
        <v>0</v>
      </c>
      <c r="H633" s="21">
        <f>'Solar Power Plant Data'!H632/MAX('Solar Power Plant Data'!E632,0.0001)
</f>
        <v>0</v>
      </c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</row>
    <row r="634">
      <c r="A634" s="21">
        <f>HOUR('Solar Power Plant Data'!A633)</f>
        <v>2</v>
      </c>
      <c r="B634" s="21">
        <f>DAY('Solar Power Plant Data'!A633)</f>
        <v>20</v>
      </c>
      <c r="C634" s="21">
        <f>MONTH('Solar Power Plant Data'!A633)</f>
        <v>12</v>
      </c>
      <c r="D634" s="21" t="str">
        <f>TEXT('Solar Power Plant Data'!A633,"ddd")</f>
        <v>Wed</v>
      </c>
      <c r="E634" s="21">
        <f t="shared" si="1"/>
        <v>0</v>
      </c>
      <c r="F634" s="19">
        <f t="array" ref="F634">IF(ROW()&lt;25,"",INDEX('Solar Power Plant Data'!H:H,ROW()-1))</f>
        <v>0</v>
      </c>
      <c r="G634" s="19">
        <f>IF(ROW()&lt;25,"",AVERAGE(OFFSET('Solar Power Plant Data'!H656,-23,0,24,1)))
</f>
        <v>0</v>
      </c>
      <c r="H634" s="21">
        <f>'Solar Power Plant Data'!H633/MAX('Solar Power Plant Data'!E633,0.0001)
</f>
        <v>0</v>
      </c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</row>
    <row r="635">
      <c r="A635" s="21">
        <f>HOUR('Solar Power Plant Data'!A634)</f>
        <v>2</v>
      </c>
      <c r="B635" s="21">
        <f>DAY('Solar Power Plant Data'!A634)</f>
        <v>21</v>
      </c>
      <c r="C635" s="21">
        <f>MONTH('Solar Power Plant Data'!A634)</f>
        <v>12</v>
      </c>
      <c r="D635" s="21" t="str">
        <f>TEXT('Solar Power Plant Data'!A634,"ddd")</f>
        <v>Thu</v>
      </c>
      <c r="E635" s="21">
        <f t="shared" si="1"/>
        <v>0</v>
      </c>
      <c r="F635" s="19">
        <f t="array" ref="F635">IF(ROW()&lt;25,"",INDEX('Solar Power Plant Data'!H:H,ROW()-1))</f>
        <v>0</v>
      </c>
      <c r="G635" s="19">
        <f>IF(ROW()&lt;25,"",AVERAGE(OFFSET('Solar Power Plant Data'!H657,-23,0,24,1)))
</f>
        <v>0</v>
      </c>
      <c r="H635" s="21">
        <f>'Solar Power Plant Data'!H634/MAX('Solar Power Plant Data'!E634,0.0001)
</f>
        <v>0</v>
      </c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</row>
    <row r="636">
      <c r="A636" s="21">
        <f>HOUR('Solar Power Plant Data'!A635)</f>
        <v>2</v>
      </c>
      <c r="B636" s="21">
        <f>DAY('Solar Power Plant Data'!A635)</f>
        <v>22</v>
      </c>
      <c r="C636" s="21">
        <f>MONTH('Solar Power Plant Data'!A635)</f>
        <v>12</v>
      </c>
      <c r="D636" s="21" t="str">
        <f>TEXT('Solar Power Plant Data'!A635,"ddd")</f>
        <v>Fri</v>
      </c>
      <c r="E636" s="21">
        <f t="shared" si="1"/>
        <v>0</v>
      </c>
      <c r="F636" s="19">
        <f t="array" ref="F636">IF(ROW()&lt;25,"",INDEX('Solar Power Plant Data'!H:H,ROW()-1))</f>
        <v>0</v>
      </c>
      <c r="G636" s="19">
        <f>IF(ROW()&lt;25,"",AVERAGE(OFFSET('Solar Power Plant Data'!H658,-23,0,24,1)))
</f>
        <v>0</v>
      </c>
      <c r="H636" s="21">
        <f>'Solar Power Plant Data'!H635/MAX('Solar Power Plant Data'!E635,0.0001)
</f>
        <v>0</v>
      </c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</row>
    <row r="637">
      <c r="A637" s="21">
        <f>HOUR('Solar Power Plant Data'!A636)</f>
        <v>2</v>
      </c>
      <c r="B637" s="21">
        <f>DAY('Solar Power Plant Data'!A636)</f>
        <v>23</v>
      </c>
      <c r="C637" s="21">
        <f>MONTH('Solar Power Plant Data'!A636)</f>
        <v>12</v>
      </c>
      <c r="D637" s="21" t="str">
        <f>TEXT('Solar Power Plant Data'!A636,"ddd")</f>
        <v>Sat</v>
      </c>
      <c r="E637" s="21">
        <f t="shared" si="1"/>
        <v>1</v>
      </c>
      <c r="F637" s="19">
        <f t="array" ref="F637">IF(ROW()&lt;25,"",INDEX('Solar Power Plant Data'!H:H,ROW()-1))</f>
        <v>0</v>
      </c>
      <c r="G637" s="19">
        <f>IF(ROW()&lt;25,"",AVERAGE(OFFSET('Solar Power Plant Data'!H659,-23,0,24,1)))
</f>
        <v>0</v>
      </c>
      <c r="H637" s="21">
        <f>'Solar Power Plant Data'!H636/MAX('Solar Power Plant Data'!E636,0.0001)
</f>
        <v>0</v>
      </c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</row>
    <row r="638">
      <c r="A638" s="21">
        <f>HOUR('Solar Power Plant Data'!A637)</f>
        <v>2</v>
      </c>
      <c r="B638" s="21">
        <f>DAY('Solar Power Plant Data'!A637)</f>
        <v>24</v>
      </c>
      <c r="C638" s="21">
        <f>MONTH('Solar Power Plant Data'!A637)</f>
        <v>12</v>
      </c>
      <c r="D638" s="21" t="str">
        <f>TEXT('Solar Power Plant Data'!A637,"ddd")</f>
        <v>Sun</v>
      </c>
      <c r="E638" s="21">
        <f t="shared" si="1"/>
        <v>1</v>
      </c>
      <c r="F638" s="19">
        <f t="array" ref="F638">IF(ROW()&lt;25,"",INDEX('Solar Power Plant Data'!H:H,ROW()-1))</f>
        <v>0</v>
      </c>
      <c r="G638" s="19">
        <f>IF(ROW()&lt;25,"",AVERAGE(OFFSET('Solar Power Plant Data'!H660,-23,0,24,1)))
</f>
        <v>0</v>
      </c>
      <c r="H638" s="21">
        <f>'Solar Power Plant Data'!H637/MAX('Solar Power Plant Data'!E637,0.0001)
</f>
        <v>0</v>
      </c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</row>
    <row r="639">
      <c r="A639" s="21">
        <f>HOUR('Solar Power Plant Data'!A638)</f>
        <v>2</v>
      </c>
      <c r="B639" s="21">
        <f>DAY('Solar Power Plant Data'!A638)</f>
        <v>25</v>
      </c>
      <c r="C639" s="21">
        <f>MONTH('Solar Power Plant Data'!A638)</f>
        <v>12</v>
      </c>
      <c r="D639" s="21" t="str">
        <f>TEXT('Solar Power Plant Data'!A638,"ddd")</f>
        <v>Mon</v>
      </c>
      <c r="E639" s="21">
        <f t="shared" si="1"/>
        <v>0</v>
      </c>
      <c r="F639" s="19">
        <f t="array" ref="F639">IF(ROW()&lt;25,"",INDEX('Solar Power Plant Data'!H:H,ROW()-1))</f>
        <v>0</v>
      </c>
      <c r="G639" s="19">
        <f>IF(ROW()&lt;25,"",AVERAGE(OFFSET('Solar Power Plant Data'!H661,-23,0,24,1)))
</f>
        <v>89305.54167</v>
      </c>
      <c r="H639" s="21">
        <f>'Solar Power Plant Data'!H638/MAX('Solar Power Plant Data'!E638,0.0001)
</f>
        <v>0</v>
      </c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</row>
    <row r="640">
      <c r="A640" s="21">
        <f>HOUR('Solar Power Plant Data'!A639)</f>
        <v>2</v>
      </c>
      <c r="B640" s="21">
        <f>DAY('Solar Power Plant Data'!A639)</f>
        <v>26</v>
      </c>
      <c r="C640" s="21">
        <f>MONTH('Solar Power Plant Data'!A639)</f>
        <v>12</v>
      </c>
      <c r="D640" s="21" t="str">
        <f>TEXT('Solar Power Plant Data'!A639,"ddd")</f>
        <v>Tue</v>
      </c>
      <c r="E640" s="21">
        <f t="shared" si="1"/>
        <v>0</v>
      </c>
      <c r="F640" s="19">
        <f t="array" ref="F640">IF(ROW()&lt;25,"",INDEX('Solar Power Plant Data'!H:H,ROW()-1))</f>
        <v>0</v>
      </c>
      <c r="G640" s="19">
        <f>IF(ROW()&lt;25,"",AVERAGE(OFFSET('Solar Power Plant Data'!H662,-23,0,24,1)))
</f>
        <v>89321.66667</v>
      </c>
      <c r="H640" s="21">
        <f>'Solar Power Plant Data'!H639/MAX('Solar Power Plant Data'!E639,0.0001)
</f>
        <v>0</v>
      </c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</row>
    <row r="641">
      <c r="A641" s="21">
        <f>HOUR('Solar Power Plant Data'!A640)</f>
        <v>2</v>
      </c>
      <c r="B641" s="21">
        <f>DAY('Solar Power Plant Data'!A640)</f>
        <v>27</v>
      </c>
      <c r="C641" s="21">
        <f>MONTH('Solar Power Plant Data'!A640)</f>
        <v>12</v>
      </c>
      <c r="D641" s="21" t="str">
        <f>TEXT('Solar Power Plant Data'!A640,"ddd")</f>
        <v>Wed</v>
      </c>
      <c r="E641" s="21">
        <f t="shared" si="1"/>
        <v>0</v>
      </c>
      <c r="F641" s="19">
        <f t="array" ref="F641">IF(ROW()&lt;25,"",INDEX('Solar Power Plant Data'!H:H,ROW()-1))</f>
        <v>0</v>
      </c>
      <c r="G641" s="19">
        <f>IF(ROW()&lt;25,"",AVERAGE(OFFSET('Solar Power Plant Data'!H663,-23,0,24,1)))
</f>
        <v>182446.7083</v>
      </c>
      <c r="H641" s="21">
        <f>'Solar Power Plant Data'!H640/MAX('Solar Power Plant Data'!E640,0.0001)
</f>
        <v>0</v>
      </c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</row>
    <row r="642">
      <c r="A642" s="21">
        <f>HOUR('Solar Power Plant Data'!A641)</f>
        <v>2</v>
      </c>
      <c r="B642" s="21">
        <f>DAY('Solar Power Plant Data'!A641)</f>
        <v>28</v>
      </c>
      <c r="C642" s="21">
        <f>MONTH('Solar Power Plant Data'!A641)</f>
        <v>12</v>
      </c>
      <c r="D642" s="21" t="str">
        <f>TEXT('Solar Power Plant Data'!A641,"ddd")</f>
        <v>Thu</v>
      </c>
      <c r="E642" s="21">
        <f t="shared" si="1"/>
        <v>0</v>
      </c>
      <c r="F642" s="19">
        <f t="array" ref="F642">IF(ROW()&lt;25,"",INDEX('Solar Power Plant Data'!H:H,ROW()-1))</f>
        <v>0</v>
      </c>
      <c r="G642" s="19">
        <f>IF(ROW()&lt;25,"",AVERAGE(OFFSET('Solar Power Plant Data'!H664,-23,0,24,1)))
</f>
        <v>182452.75</v>
      </c>
      <c r="H642" s="21">
        <f>'Solar Power Plant Data'!H641/MAX('Solar Power Plant Data'!E641,0.0001)
</f>
        <v>0</v>
      </c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</row>
    <row r="643">
      <c r="A643" s="21">
        <f>HOUR('Solar Power Plant Data'!A642)</f>
        <v>2</v>
      </c>
      <c r="B643" s="21">
        <f>DAY('Solar Power Plant Data'!A642)</f>
        <v>29</v>
      </c>
      <c r="C643" s="21">
        <f>MONTH('Solar Power Plant Data'!A642)</f>
        <v>12</v>
      </c>
      <c r="D643" s="21" t="str">
        <f>TEXT('Solar Power Plant Data'!A642,"ddd")</f>
        <v>Fri</v>
      </c>
      <c r="E643" s="21">
        <f t="shared" si="1"/>
        <v>0</v>
      </c>
      <c r="F643" s="19">
        <f t="array" ref="F643">IF(ROW()&lt;25,"",INDEX('Solar Power Plant Data'!H:H,ROW()-1))</f>
        <v>0</v>
      </c>
      <c r="G643" s="19">
        <f>IF(ROW()&lt;25,"",AVERAGE(OFFSET('Solar Power Plant Data'!H665,-23,0,24,1)))
</f>
        <v>198563.875</v>
      </c>
      <c r="H643" s="21">
        <f>'Solar Power Plant Data'!H642/MAX('Solar Power Plant Data'!E642,0.0001)
</f>
        <v>0</v>
      </c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</row>
    <row r="644">
      <c r="A644" s="21">
        <f>HOUR('Solar Power Plant Data'!A643)</f>
        <v>2</v>
      </c>
      <c r="B644" s="21">
        <f>DAY('Solar Power Plant Data'!A643)</f>
        <v>30</v>
      </c>
      <c r="C644" s="21">
        <f>MONTH('Solar Power Plant Data'!A643)</f>
        <v>12</v>
      </c>
      <c r="D644" s="21" t="str">
        <f>TEXT('Solar Power Plant Data'!A643,"ddd")</f>
        <v>Sat</v>
      </c>
      <c r="E644" s="21">
        <f t="shared" si="1"/>
        <v>1</v>
      </c>
      <c r="F644" s="19">
        <f t="array" ref="F644">IF(ROW()&lt;25,"",INDEX('Solar Power Plant Data'!H:H,ROW()-1))</f>
        <v>0</v>
      </c>
      <c r="G644" s="19">
        <f>IF(ROW()&lt;25,"",AVERAGE(OFFSET('Solar Power Plant Data'!H666,-23,0,24,1)))
</f>
        <v>198563.875</v>
      </c>
      <c r="H644" s="21">
        <f>'Solar Power Plant Data'!H643/MAX('Solar Power Plant Data'!E643,0.0001)
</f>
        <v>0</v>
      </c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</row>
    <row r="645">
      <c r="A645" s="21">
        <f>HOUR('Solar Power Plant Data'!A644)</f>
        <v>2</v>
      </c>
      <c r="B645" s="21">
        <f>DAY('Solar Power Plant Data'!A644)</f>
        <v>31</v>
      </c>
      <c r="C645" s="21">
        <f>MONTH('Solar Power Plant Data'!A644)</f>
        <v>12</v>
      </c>
      <c r="D645" s="21" t="str">
        <f>TEXT('Solar Power Plant Data'!A644,"ddd")</f>
        <v>Sun</v>
      </c>
      <c r="E645" s="21">
        <f t="shared" si="1"/>
        <v>1</v>
      </c>
      <c r="F645" s="19">
        <f t="array" ref="F645">IF(ROW()&lt;25,"",INDEX('Solar Power Plant Data'!H:H,ROW()-1))</f>
        <v>0</v>
      </c>
      <c r="G645" s="19">
        <f>IF(ROW()&lt;25,"",AVERAGE(OFFSET('Solar Power Plant Data'!H667,-23,0,24,1)))
</f>
        <v>198563.875</v>
      </c>
      <c r="H645" s="21">
        <f>'Solar Power Plant Data'!H644/MAX('Solar Power Plant Data'!E644,0.0001)
</f>
        <v>0</v>
      </c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</row>
    <row r="646">
      <c r="A646" s="21">
        <f>HOUR('Solar Power Plant Data'!A645)</f>
        <v>2</v>
      </c>
      <c r="B646" s="21">
        <f>DAY('Solar Power Plant Data'!A645)</f>
        <v>1</v>
      </c>
      <c r="C646" s="21">
        <f>MONTH('Solar Power Plant Data'!A645)</f>
        <v>1</v>
      </c>
      <c r="D646" s="21" t="str">
        <f>TEXT('Solar Power Plant Data'!A645,"ddd")</f>
        <v>Mon</v>
      </c>
      <c r="E646" s="21">
        <f t="shared" si="1"/>
        <v>0</v>
      </c>
      <c r="F646" s="19">
        <f t="array" ref="F646">IF(ROW()&lt;25,"",INDEX('Solar Power Plant Data'!H:H,ROW()-1))</f>
        <v>0</v>
      </c>
      <c r="G646" s="19">
        <f>IF(ROW()&lt;25,"",AVERAGE(OFFSET('Solar Power Plant Data'!H668,-23,0,24,1)))
</f>
        <v>198563.875</v>
      </c>
      <c r="H646" s="21">
        <f>'Solar Power Plant Data'!H645/MAX('Solar Power Plant Data'!E645,0.0001)
</f>
        <v>0</v>
      </c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</row>
    <row r="647">
      <c r="A647" s="21">
        <f>HOUR('Solar Power Plant Data'!A646)</f>
        <v>2</v>
      </c>
      <c r="B647" s="21">
        <f>DAY('Solar Power Plant Data'!A646)</f>
        <v>2</v>
      </c>
      <c r="C647" s="21">
        <f>MONTH('Solar Power Plant Data'!A646)</f>
        <v>1</v>
      </c>
      <c r="D647" s="21" t="str">
        <f>TEXT('Solar Power Plant Data'!A646,"ddd")</f>
        <v>Tue</v>
      </c>
      <c r="E647" s="21">
        <f t="shared" si="1"/>
        <v>0</v>
      </c>
      <c r="F647" s="19">
        <f t="array" ref="F647">IF(ROW()&lt;25,"",INDEX('Solar Power Plant Data'!H:H,ROW()-1))</f>
        <v>0</v>
      </c>
      <c r="G647" s="19">
        <f>IF(ROW()&lt;25,"",AVERAGE(OFFSET('Solar Power Plant Data'!H669,-23,0,24,1)))
</f>
        <v>198563.875</v>
      </c>
      <c r="H647" s="21">
        <f>'Solar Power Plant Data'!H646/MAX('Solar Power Plant Data'!E646,0.0001)
</f>
        <v>0</v>
      </c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</row>
    <row r="648">
      <c r="A648" s="21">
        <f>HOUR('Solar Power Plant Data'!A647)</f>
        <v>2</v>
      </c>
      <c r="B648" s="21">
        <f>DAY('Solar Power Plant Data'!A647)</f>
        <v>3</v>
      </c>
      <c r="C648" s="21">
        <f>MONTH('Solar Power Plant Data'!A647)</f>
        <v>1</v>
      </c>
      <c r="D648" s="21" t="str">
        <f>TEXT('Solar Power Plant Data'!A647,"ddd")</f>
        <v>Wed</v>
      </c>
      <c r="E648" s="21">
        <f t="shared" si="1"/>
        <v>0</v>
      </c>
      <c r="F648" s="19">
        <f t="array" ref="F648">IF(ROW()&lt;25,"",INDEX('Solar Power Plant Data'!H:H,ROW()-1))</f>
        <v>0</v>
      </c>
      <c r="G648" s="19">
        <f>IF(ROW()&lt;25,"",AVERAGE(OFFSET('Solar Power Plant Data'!H670,-23,0,24,1)))
</f>
        <v>198563.875</v>
      </c>
      <c r="H648" s="21">
        <f>'Solar Power Plant Data'!H647/MAX('Solar Power Plant Data'!E647,0.0001)
</f>
        <v>0</v>
      </c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</row>
    <row r="649">
      <c r="A649" s="21">
        <f>HOUR('Solar Power Plant Data'!A648)</f>
        <v>2</v>
      </c>
      <c r="B649" s="21">
        <f>DAY('Solar Power Plant Data'!A648)</f>
        <v>4</v>
      </c>
      <c r="C649" s="21">
        <f>MONTH('Solar Power Plant Data'!A648)</f>
        <v>1</v>
      </c>
      <c r="D649" s="21" t="str">
        <f>TEXT('Solar Power Plant Data'!A648,"ddd")</f>
        <v>Thu</v>
      </c>
      <c r="E649" s="21">
        <f t="shared" si="1"/>
        <v>0</v>
      </c>
      <c r="F649" s="19">
        <f t="array" ref="F649">IF(ROW()&lt;25,"",INDEX('Solar Power Plant Data'!H:H,ROW()-1))</f>
        <v>0</v>
      </c>
      <c r="G649" s="19">
        <f>IF(ROW()&lt;25,"",AVERAGE(OFFSET('Solar Power Plant Data'!H671,-23,0,24,1)))
</f>
        <v>198563.875</v>
      </c>
      <c r="H649" s="21">
        <f>'Solar Power Plant Data'!H648/MAX('Solar Power Plant Data'!E648,0.0001)
</f>
        <v>0</v>
      </c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</row>
    <row r="650">
      <c r="A650" s="21">
        <f>HOUR('Solar Power Plant Data'!A649)</f>
        <v>2</v>
      </c>
      <c r="B650" s="21">
        <f>DAY('Solar Power Plant Data'!A649)</f>
        <v>5</v>
      </c>
      <c r="C650" s="21">
        <f>MONTH('Solar Power Plant Data'!A649)</f>
        <v>1</v>
      </c>
      <c r="D650" s="21" t="str">
        <f>TEXT('Solar Power Plant Data'!A649,"ddd")</f>
        <v>Fri</v>
      </c>
      <c r="E650" s="21">
        <f t="shared" si="1"/>
        <v>0</v>
      </c>
      <c r="F650" s="19">
        <f t="array" ref="F650">IF(ROW()&lt;25,"",INDEX('Solar Power Plant Data'!H:H,ROW()-1))</f>
        <v>0</v>
      </c>
      <c r="G650" s="19">
        <f>IF(ROW()&lt;25,"",AVERAGE(OFFSET('Solar Power Plant Data'!H672,-23,0,24,1)))
</f>
        <v>198563.875</v>
      </c>
      <c r="H650" s="21">
        <f>'Solar Power Plant Data'!H649/MAX('Solar Power Plant Data'!E649,0.0001)
</f>
        <v>0</v>
      </c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</row>
    <row r="651">
      <c r="A651" s="21">
        <f>HOUR('Solar Power Plant Data'!A650)</f>
        <v>2</v>
      </c>
      <c r="B651" s="21">
        <f>DAY('Solar Power Plant Data'!A650)</f>
        <v>6</v>
      </c>
      <c r="C651" s="21">
        <f>MONTH('Solar Power Plant Data'!A650)</f>
        <v>1</v>
      </c>
      <c r="D651" s="21" t="str">
        <f>TEXT('Solar Power Plant Data'!A650,"ddd")</f>
        <v>Sat</v>
      </c>
      <c r="E651" s="21">
        <f t="shared" si="1"/>
        <v>1</v>
      </c>
      <c r="F651" s="19">
        <f t="array" ref="F651">IF(ROW()&lt;25,"",INDEX('Solar Power Plant Data'!H:H,ROW()-1))</f>
        <v>0</v>
      </c>
      <c r="G651" s="19">
        <f>IF(ROW()&lt;25,"",AVERAGE(OFFSET('Solar Power Plant Data'!H673,-23,0,24,1)))
</f>
        <v>198563.875</v>
      </c>
      <c r="H651" s="21">
        <f>'Solar Power Plant Data'!H650/MAX('Solar Power Plant Data'!E650,0.0001)
</f>
        <v>0</v>
      </c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</row>
    <row r="652">
      <c r="A652" s="21">
        <f>HOUR('Solar Power Plant Data'!A651)</f>
        <v>2</v>
      </c>
      <c r="B652" s="21">
        <f>DAY('Solar Power Plant Data'!A651)</f>
        <v>7</v>
      </c>
      <c r="C652" s="21">
        <f>MONTH('Solar Power Plant Data'!A651)</f>
        <v>1</v>
      </c>
      <c r="D652" s="21" t="str">
        <f>TEXT('Solar Power Plant Data'!A651,"ddd")</f>
        <v>Sun</v>
      </c>
      <c r="E652" s="21">
        <f t="shared" si="1"/>
        <v>1</v>
      </c>
      <c r="F652" s="19">
        <f t="array" ref="F652">IF(ROW()&lt;25,"",INDEX('Solar Power Plant Data'!H:H,ROW()-1))</f>
        <v>0</v>
      </c>
      <c r="G652" s="19">
        <f>IF(ROW()&lt;25,"",AVERAGE(OFFSET('Solar Power Plant Data'!H674,-23,0,24,1)))
</f>
        <v>198563.875</v>
      </c>
      <c r="H652" s="21">
        <f>'Solar Power Plant Data'!H651/MAX('Solar Power Plant Data'!E651,0.0001)
</f>
        <v>0</v>
      </c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</row>
    <row r="653">
      <c r="A653" s="21">
        <f>HOUR('Solar Power Plant Data'!A652)</f>
        <v>2</v>
      </c>
      <c r="B653" s="21">
        <f>DAY('Solar Power Plant Data'!A652)</f>
        <v>8</v>
      </c>
      <c r="C653" s="21">
        <f>MONTH('Solar Power Plant Data'!A652)</f>
        <v>1</v>
      </c>
      <c r="D653" s="21" t="str">
        <f>TEXT('Solar Power Plant Data'!A652,"ddd")</f>
        <v>Mon</v>
      </c>
      <c r="E653" s="21">
        <f t="shared" si="1"/>
        <v>0</v>
      </c>
      <c r="F653" s="19">
        <f t="array" ref="F653">IF(ROW()&lt;25,"",INDEX('Solar Power Plant Data'!H:H,ROW()-1))</f>
        <v>0</v>
      </c>
      <c r="G653" s="19">
        <f>IF(ROW()&lt;25,"",AVERAGE(OFFSET('Solar Power Plant Data'!H675,-23,0,24,1)))
</f>
        <v>198563.875</v>
      </c>
      <c r="H653" s="21">
        <f>'Solar Power Plant Data'!H652/MAX('Solar Power Plant Data'!E652,0.0001)
</f>
        <v>0</v>
      </c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</row>
    <row r="654">
      <c r="A654" s="21">
        <f>HOUR('Solar Power Plant Data'!A653)</f>
        <v>2</v>
      </c>
      <c r="B654" s="21">
        <f>DAY('Solar Power Plant Data'!A653)</f>
        <v>9</v>
      </c>
      <c r="C654" s="21">
        <f>MONTH('Solar Power Plant Data'!A653)</f>
        <v>1</v>
      </c>
      <c r="D654" s="21" t="str">
        <f>TEXT('Solar Power Plant Data'!A653,"ddd")</f>
        <v>Tue</v>
      </c>
      <c r="E654" s="21">
        <f t="shared" si="1"/>
        <v>0</v>
      </c>
      <c r="F654" s="19">
        <f t="array" ref="F654">IF(ROW()&lt;25,"",INDEX('Solar Power Plant Data'!H:H,ROW()-1))</f>
        <v>0</v>
      </c>
      <c r="G654" s="19">
        <f>IF(ROW()&lt;25,"",AVERAGE(OFFSET('Solar Power Plant Data'!H676,-23,0,24,1)))
</f>
        <v>198563.875</v>
      </c>
      <c r="H654" s="21">
        <f>'Solar Power Plant Data'!H653/MAX('Solar Power Plant Data'!E653,0.0001)
</f>
        <v>0</v>
      </c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</row>
    <row r="655">
      <c r="A655" s="21">
        <f>HOUR('Solar Power Plant Data'!A654)</f>
        <v>2</v>
      </c>
      <c r="B655" s="21">
        <f>DAY('Solar Power Plant Data'!A654)</f>
        <v>10</v>
      </c>
      <c r="C655" s="21">
        <f>MONTH('Solar Power Plant Data'!A654)</f>
        <v>1</v>
      </c>
      <c r="D655" s="21" t="str">
        <f>TEXT('Solar Power Plant Data'!A654,"ddd")</f>
        <v>Wed</v>
      </c>
      <c r="E655" s="21">
        <f t="shared" si="1"/>
        <v>0</v>
      </c>
      <c r="F655" s="19">
        <f t="array" ref="F655">IF(ROW()&lt;25,"",INDEX('Solar Power Plant Data'!H:H,ROW()-1))</f>
        <v>0</v>
      </c>
      <c r="G655" s="19">
        <f>IF(ROW()&lt;25,"",AVERAGE(OFFSET('Solar Power Plant Data'!H677,-23,0,24,1)))
</f>
        <v>198563.875</v>
      </c>
      <c r="H655" s="21">
        <f>'Solar Power Plant Data'!H654/MAX('Solar Power Plant Data'!E654,0.0001)
</f>
        <v>0</v>
      </c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</row>
    <row r="656">
      <c r="A656" s="21">
        <f>HOUR('Solar Power Plant Data'!A655)</f>
        <v>2</v>
      </c>
      <c r="B656" s="21">
        <f>DAY('Solar Power Plant Data'!A655)</f>
        <v>11</v>
      </c>
      <c r="C656" s="21">
        <f>MONTH('Solar Power Plant Data'!A655)</f>
        <v>1</v>
      </c>
      <c r="D656" s="21" t="str">
        <f>TEXT('Solar Power Plant Data'!A655,"ddd")</f>
        <v>Thu</v>
      </c>
      <c r="E656" s="21">
        <f t="shared" si="1"/>
        <v>0</v>
      </c>
      <c r="F656" s="19">
        <f t="array" ref="F656">IF(ROW()&lt;25,"",INDEX('Solar Power Plant Data'!H:H,ROW()-1))</f>
        <v>0</v>
      </c>
      <c r="G656" s="19">
        <f>IF(ROW()&lt;25,"",AVERAGE(OFFSET('Solar Power Plant Data'!H678,-23,0,24,1)))
</f>
        <v>198563.875</v>
      </c>
      <c r="H656" s="21">
        <f>'Solar Power Plant Data'!H655/MAX('Solar Power Plant Data'!E655,0.0001)
</f>
        <v>0</v>
      </c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</row>
    <row r="657">
      <c r="A657" s="21">
        <f>HOUR('Solar Power Plant Data'!A656)</f>
        <v>2</v>
      </c>
      <c r="B657" s="21">
        <f>DAY('Solar Power Plant Data'!A656)</f>
        <v>12</v>
      </c>
      <c r="C657" s="21">
        <f>MONTH('Solar Power Plant Data'!A656)</f>
        <v>1</v>
      </c>
      <c r="D657" s="21" t="str">
        <f>TEXT('Solar Power Plant Data'!A656,"ddd")</f>
        <v>Fri</v>
      </c>
      <c r="E657" s="21">
        <f t="shared" si="1"/>
        <v>0</v>
      </c>
      <c r="F657" s="19">
        <f t="array" ref="F657">IF(ROW()&lt;25,"",INDEX('Solar Power Plant Data'!H:H,ROW()-1))</f>
        <v>0</v>
      </c>
      <c r="G657" s="19">
        <f>IF(ROW()&lt;25,"",AVERAGE(OFFSET('Solar Power Plant Data'!H679,-23,0,24,1)))
</f>
        <v>198563.875</v>
      </c>
      <c r="H657" s="21">
        <f>'Solar Power Plant Data'!H656/MAX('Solar Power Plant Data'!E656,0.0001)
</f>
        <v>0</v>
      </c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</row>
    <row r="658">
      <c r="A658" s="21">
        <f>HOUR('Solar Power Plant Data'!A657)</f>
        <v>2</v>
      </c>
      <c r="B658" s="21">
        <f>DAY('Solar Power Plant Data'!A657)</f>
        <v>13</v>
      </c>
      <c r="C658" s="21">
        <f>MONTH('Solar Power Plant Data'!A657)</f>
        <v>1</v>
      </c>
      <c r="D658" s="21" t="str">
        <f>TEXT('Solar Power Plant Data'!A657,"ddd")</f>
        <v>Sat</v>
      </c>
      <c r="E658" s="21">
        <f t="shared" si="1"/>
        <v>1</v>
      </c>
      <c r="F658" s="19">
        <f t="array" ref="F658">IF(ROW()&lt;25,"",INDEX('Solar Power Plant Data'!H:H,ROW()-1))</f>
        <v>0</v>
      </c>
      <c r="G658" s="19">
        <f>IF(ROW()&lt;25,"",AVERAGE(OFFSET('Solar Power Plant Data'!H680,-23,0,24,1)))
</f>
        <v>198563.875</v>
      </c>
      <c r="H658" s="21">
        <f>'Solar Power Plant Data'!H657/MAX('Solar Power Plant Data'!E657,0.0001)
</f>
        <v>0</v>
      </c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</row>
    <row r="659">
      <c r="A659" s="21">
        <f>HOUR('Solar Power Plant Data'!A658)</f>
        <v>2</v>
      </c>
      <c r="B659" s="21">
        <f>DAY('Solar Power Plant Data'!A658)</f>
        <v>14</v>
      </c>
      <c r="C659" s="21">
        <f>MONTH('Solar Power Plant Data'!A658)</f>
        <v>1</v>
      </c>
      <c r="D659" s="21" t="str">
        <f>TEXT('Solar Power Plant Data'!A658,"ddd")</f>
        <v>Sun</v>
      </c>
      <c r="E659" s="21">
        <f t="shared" si="1"/>
        <v>1</v>
      </c>
      <c r="F659" s="19">
        <f t="array" ref="F659">IF(ROW()&lt;25,"",INDEX('Solar Power Plant Data'!H:H,ROW()-1))</f>
        <v>0</v>
      </c>
      <c r="G659" s="19">
        <f>IF(ROW()&lt;25,"",AVERAGE(OFFSET('Solar Power Plant Data'!H681,-23,0,24,1)))
</f>
        <v>198563.875</v>
      </c>
      <c r="H659" s="21">
        <f>'Solar Power Plant Data'!H658/MAX('Solar Power Plant Data'!E658,0.0001)
</f>
        <v>0</v>
      </c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</row>
    <row r="660">
      <c r="A660" s="21">
        <f>HOUR('Solar Power Plant Data'!A659)</f>
        <v>2</v>
      </c>
      <c r="B660" s="21">
        <f>DAY('Solar Power Plant Data'!A659)</f>
        <v>15</v>
      </c>
      <c r="C660" s="21">
        <f>MONTH('Solar Power Plant Data'!A659)</f>
        <v>1</v>
      </c>
      <c r="D660" s="21" t="str">
        <f>TEXT('Solar Power Plant Data'!A659,"ddd")</f>
        <v>Mon</v>
      </c>
      <c r="E660" s="21">
        <f t="shared" si="1"/>
        <v>0</v>
      </c>
      <c r="F660" s="19">
        <f t="array" ref="F660">IF(ROW()&lt;25,"",INDEX('Solar Power Plant Data'!H:H,ROW()-1))</f>
        <v>0</v>
      </c>
      <c r="G660" s="19">
        <f>IF(ROW()&lt;25,"",AVERAGE(OFFSET('Solar Power Plant Data'!H682,-23,0,24,1)))
</f>
        <v>198563.875</v>
      </c>
      <c r="H660" s="21">
        <f>'Solar Power Plant Data'!H659/MAX('Solar Power Plant Data'!E659,0.0001)
</f>
        <v>0</v>
      </c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</row>
    <row r="661">
      <c r="A661" s="21">
        <f>HOUR('Solar Power Plant Data'!A660)</f>
        <v>2</v>
      </c>
      <c r="B661" s="21">
        <f>DAY('Solar Power Plant Data'!A660)</f>
        <v>16</v>
      </c>
      <c r="C661" s="21">
        <f>MONTH('Solar Power Plant Data'!A660)</f>
        <v>1</v>
      </c>
      <c r="D661" s="21" t="str">
        <f>TEXT('Solar Power Plant Data'!A660,"ddd")</f>
        <v>Tue</v>
      </c>
      <c r="E661" s="21">
        <f t="shared" si="1"/>
        <v>0</v>
      </c>
      <c r="F661" s="19">
        <f t="array" ref="F661">IF(ROW()&lt;25,"",INDEX('Solar Power Plant Data'!H:H,ROW()-1))</f>
        <v>0</v>
      </c>
      <c r="G661" s="19">
        <f>IF(ROW()&lt;25,"",AVERAGE(OFFSET('Solar Power Plant Data'!H683,-23,0,24,1)))
</f>
        <v>198563.875</v>
      </c>
      <c r="H661" s="21">
        <f>'Solar Power Plant Data'!H660/MAX('Solar Power Plant Data'!E660,0.0001)
</f>
        <v>0</v>
      </c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</row>
    <row r="662">
      <c r="A662" s="21">
        <f>HOUR('Solar Power Plant Data'!A661)</f>
        <v>2</v>
      </c>
      <c r="B662" s="21">
        <f>DAY('Solar Power Plant Data'!A661)</f>
        <v>17</v>
      </c>
      <c r="C662" s="21">
        <f>MONTH('Solar Power Plant Data'!A661)</f>
        <v>1</v>
      </c>
      <c r="D662" s="21" t="str">
        <f>TEXT('Solar Power Plant Data'!A661,"ddd")</f>
        <v>Wed</v>
      </c>
      <c r="E662" s="21">
        <f t="shared" si="1"/>
        <v>0</v>
      </c>
      <c r="F662" s="19">
        <f t="array" ref="F662">IF(ROW()&lt;25,"",INDEX('Solar Power Plant Data'!H:H,ROW()-1))</f>
        <v>2143333</v>
      </c>
      <c r="G662" s="19">
        <f>IF(ROW()&lt;25,"",AVERAGE(OFFSET('Solar Power Plant Data'!H684,-23,0,24,1)))
</f>
        <v>198563.875</v>
      </c>
      <c r="H662" s="21">
        <f>'Solar Power Plant Data'!H661/MAX('Solar Power Plant Data'!E661,0.0001)
</f>
        <v>21433330000</v>
      </c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</row>
    <row r="663">
      <c r="A663" s="21">
        <f>HOUR('Solar Power Plant Data'!A662)</f>
        <v>2</v>
      </c>
      <c r="B663" s="21">
        <f>DAY('Solar Power Plant Data'!A662)</f>
        <v>18</v>
      </c>
      <c r="C663" s="21">
        <f>MONTH('Solar Power Plant Data'!A662)</f>
        <v>1</v>
      </c>
      <c r="D663" s="21" t="str">
        <f>TEXT('Solar Power Plant Data'!A662,"ddd")</f>
        <v>Thu</v>
      </c>
      <c r="E663" s="21">
        <f t="shared" si="1"/>
        <v>0</v>
      </c>
      <c r="F663" s="19">
        <f t="array" ref="F663">IF(ROW()&lt;25,"",INDEX('Solar Power Plant Data'!H:H,ROW()-1))</f>
        <v>387</v>
      </c>
      <c r="G663" s="19">
        <f>IF(ROW()&lt;25,"",AVERAGE(OFFSET('Solar Power Plant Data'!H685,-23,0,24,1)))
</f>
        <v>109258.3333</v>
      </c>
      <c r="H663" s="21">
        <f>'Solar Power Plant Data'!H662/MAX('Solar Power Plant Data'!E662,0.0001)
</f>
        <v>3870000</v>
      </c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</row>
    <row r="664">
      <c r="A664" s="21">
        <f>HOUR('Solar Power Plant Data'!A663)</f>
        <v>2</v>
      </c>
      <c r="B664" s="21">
        <f>DAY('Solar Power Plant Data'!A663)</f>
        <v>19</v>
      </c>
      <c r="C664" s="21">
        <f>MONTH('Solar Power Plant Data'!A663)</f>
        <v>1</v>
      </c>
      <c r="D664" s="21" t="str">
        <f>TEXT('Solar Power Plant Data'!A663,"ddd")</f>
        <v>Fri</v>
      </c>
      <c r="E664" s="21">
        <f t="shared" si="1"/>
        <v>0</v>
      </c>
      <c r="F664" s="19">
        <f t="array" ref="F664">IF(ROW()&lt;25,"",INDEX('Solar Power Plant Data'!H:H,ROW()-1))</f>
        <v>2235001</v>
      </c>
      <c r="G664" s="19">
        <f>IF(ROW()&lt;25,"",AVERAGE(OFFSET('Solar Power Plant Data'!H686,-23,0,24,1)))
</f>
        <v>109242.2083</v>
      </c>
      <c r="H664" s="21">
        <f>'Solar Power Plant Data'!H663/MAX('Solar Power Plant Data'!E663,0.0001)
</f>
        <v>22350010000</v>
      </c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</row>
    <row r="665">
      <c r="A665" s="21">
        <f>HOUR('Solar Power Plant Data'!A664)</f>
        <v>2</v>
      </c>
      <c r="B665" s="21">
        <f>DAY('Solar Power Plant Data'!A664)</f>
        <v>20</v>
      </c>
      <c r="C665" s="21">
        <f>MONTH('Solar Power Plant Data'!A664)</f>
        <v>1</v>
      </c>
      <c r="D665" s="21" t="str">
        <f>TEXT('Solar Power Plant Data'!A664,"ddd")</f>
        <v>Sat</v>
      </c>
      <c r="E665" s="21">
        <f t="shared" si="1"/>
        <v>1</v>
      </c>
      <c r="F665" s="19">
        <f t="array" ref="F665">IF(ROW()&lt;25,"",INDEX('Solar Power Plant Data'!H:H,ROW()-1))</f>
        <v>145</v>
      </c>
      <c r="G665" s="19">
        <f>IF(ROW()&lt;25,"",AVERAGE(OFFSET('Solar Power Plant Data'!H687,-23,0,24,1)))
</f>
        <v>16117.16667</v>
      </c>
      <c r="H665" s="21">
        <f>'Solar Power Plant Data'!H664/MAX('Solar Power Plant Data'!E664,0.0001)
</f>
        <v>1450000</v>
      </c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</row>
    <row r="666">
      <c r="A666" s="21">
        <f>HOUR('Solar Power Plant Data'!A665)</f>
        <v>2</v>
      </c>
      <c r="B666" s="21">
        <f>DAY('Solar Power Plant Data'!A665)</f>
        <v>21</v>
      </c>
      <c r="C666" s="21">
        <f>MONTH('Solar Power Plant Data'!A665)</f>
        <v>1</v>
      </c>
      <c r="D666" s="21" t="str">
        <f>TEXT('Solar Power Plant Data'!A665,"ddd")</f>
        <v>Sun</v>
      </c>
      <c r="E666" s="21">
        <f t="shared" si="1"/>
        <v>1</v>
      </c>
      <c r="F666" s="19">
        <f t="array" ref="F666">IF(ROW()&lt;25,"",INDEX('Solar Power Plant Data'!H:H,ROW()-1))</f>
        <v>386667</v>
      </c>
      <c r="G666" s="19">
        <f>IF(ROW()&lt;25,"",AVERAGE(OFFSET('Solar Power Plant Data'!H688,-23,0,24,1)))
</f>
        <v>16111.125</v>
      </c>
      <c r="H666" s="21">
        <f>'Solar Power Plant Data'!H665/MAX('Solar Power Plant Data'!E665,0.0001)
</f>
        <v>3866670000</v>
      </c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</row>
    <row r="667">
      <c r="A667" s="21">
        <f>HOUR('Solar Power Plant Data'!A666)</f>
        <v>2</v>
      </c>
      <c r="B667" s="21">
        <f>DAY('Solar Power Plant Data'!A666)</f>
        <v>22</v>
      </c>
      <c r="C667" s="21">
        <f>MONTH('Solar Power Plant Data'!A666)</f>
        <v>1</v>
      </c>
      <c r="D667" s="21" t="str">
        <f>TEXT('Solar Power Plant Data'!A666,"ddd")</f>
        <v>Mon</v>
      </c>
      <c r="E667" s="21">
        <f t="shared" si="1"/>
        <v>0</v>
      </c>
      <c r="F667" s="19">
        <f t="array" ref="F667">IF(ROW()&lt;25,"",INDEX('Solar Power Plant Data'!H:H,ROW()-1))</f>
        <v>0</v>
      </c>
      <c r="G667" s="19">
        <f>IF(ROW()&lt;25,"",AVERAGE(OFFSET('Solar Power Plant Data'!H689,-23,0,24,1)))
</f>
        <v>0</v>
      </c>
      <c r="H667" s="21">
        <f>'Solar Power Plant Data'!H666/MAX('Solar Power Plant Data'!E666,0.0001)
</f>
        <v>0</v>
      </c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</row>
    <row r="668">
      <c r="A668" s="21">
        <f>HOUR('Solar Power Plant Data'!A667)</f>
        <v>2</v>
      </c>
      <c r="B668" s="21">
        <f>DAY('Solar Power Plant Data'!A667)</f>
        <v>23</v>
      </c>
      <c r="C668" s="21">
        <f>MONTH('Solar Power Plant Data'!A667)</f>
        <v>1</v>
      </c>
      <c r="D668" s="21" t="str">
        <f>TEXT('Solar Power Plant Data'!A667,"ddd")</f>
        <v>Tue</v>
      </c>
      <c r="E668" s="21">
        <f t="shared" si="1"/>
        <v>0</v>
      </c>
      <c r="F668" s="19">
        <f t="array" ref="F668">IF(ROW()&lt;25,"",INDEX('Solar Power Plant Data'!H:H,ROW()-1))</f>
        <v>0</v>
      </c>
      <c r="G668" s="19">
        <f>IF(ROW()&lt;25,"",AVERAGE(OFFSET('Solar Power Plant Data'!H690,-23,0,24,1)))
</f>
        <v>0</v>
      </c>
      <c r="H668" s="21">
        <f>'Solar Power Plant Data'!H667/MAX('Solar Power Plant Data'!E667,0.0001)
</f>
        <v>0</v>
      </c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</row>
    <row r="669">
      <c r="A669" s="21">
        <f>HOUR('Solar Power Plant Data'!A668)</f>
        <v>2</v>
      </c>
      <c r="B669" s="21">
        <f>DAY('Solar Power Plant Data'!A668)</f>
        <v>24</v>
      </c>
      <c r="C669" s="21">
        <f>MONTH('Solar Power Plant Data'!A668)</f>
        <v>1</v>
      </c>
      <c r="D669" s="21" t="str">
        <f>TEXT('Solar Power Plant Data'!A668,"ddd")</f>
        <v>Wed</v>
      </c>
      <c r="E669" s="21">
        <f t="shared" si="1"/>
        <v>0</v>
      </c>
      <c r="F669" s="19">
        <f t="array" ref="F669">IF(ROW()&lt;25,"",INDEX('Solar Power Plant Data'!H:H,ROW()-1))</f>
        <v>0</v>
      </c>
      <c r="G669" s="19">
        <f>IF(ROW()&lt;25,"",AVERAGE(OFFSET('Solar Power Plant Data'!H691,-23,0,24,1)))
</f>
        <v>0</v>
      </c>
      <c r="H669" s="21">
        <f>'Solar Power Plant Data'!H668/MAX('Solar Power Plant Data'!E668,0.0001)
</f>
        <v>0</v>
      </c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</row>
    <row r="670">
      <c r="A670" s="21">
        <f>HOUR('Solar Power Plant Data'!A669)</f>
        <v>2</v>
      </c>
      <c r="B670" s="21">
        <f>DAY('Solar Power Plant Data'!A669)</f>
        <v>25</v>
      </c>
      <c r="C670" s="21">
        <f>MONTH('Solar Power Plant Data'!A669)</f>
        <v>1</v>
      </c>
      <c r="D670" s="21" t="str">
        <f>TEXT('Solar Power Plant Data'!A669,"ddd")</f>
        <v>Thu</v>
      </c>
      <c r="E670" s="21">
        <f t="shared" si="1"/>
        <v>0</v>
      </c>
      <c r="F670" s="19">
        <f t="array" ref="F670">IF(ROW()&lt;25,"",INDEX('Solar Power Plant Data'!H:H,ROW()-1))</f>
        <v>0</v>
      </c>
      <c r="G670" s="19">
        <f>IF(ROW()&lt;25,"",AVERAGE(OFFSET('Solar Power Plant Data'!H692,-23,0,24,1)))
</f>
        <v>0</v>
      </c>
      <c r="H670" s="21">
        <f>'Solar Power Plant Data'!H669/MAX('Solar Power Plant Data'!E669,0.0001)
</f>
        <v>0</v>
      </c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</row>
    <row r="671">
      <c r="A671" s="21">
        <f>HOUR('Solar Power Plant Data'!A670)</f>
        <v>2</v>
      </c>
      <c r="B671" s="21">
        <f>DAY('Solar Power Plant Data'!A670)</f>
        <v>26</v>
      </c>
      <c r="C671" s="21">
        <f>MONTH('Solar Power Plant Data'!A670)</f>
        <v>1</v>
      </c>
      <c r="D671" s="21" t="str">
        <f>TEXT('Solar Power Plant Data'!A670,"ddd")</f>
        <v>Fri</v>
      </c>
      <c r="E671" s="21">
        <f t="shared" si="1"/>
        <v>0</v>
      </c>
      <c r="F671" s="19">
        <f t="array" ref="F671">IF(ROW()&lt;25,"",INDEX('Solar Power Plant Data'!H:H,ROW()-1))</f>
        <v>0</v>
      </c>
      <c r="G671" s="19">
        <f>IF(ROW()&lt;25,"",AVERAGE(OFFSET('Solar Power Plant Data'!H693,-23,0,24,1)))
</f>
        <v>0</v>
      </c>
      <c r="H671" s="21">
        <f>'Solar Power Plant Data'!H670/MAX('Solar Power Plant Data'!E670,0.0001)
</f>
        <v>0</v>
      </c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</row>
    <row r="672">
      <c r="A672" s="21">
        <f>HOUR('Solar Power Plant Data'!A671)</f>
        <v>2</v>
      </c>
      <c r="B672" s="21">
        <f>DAY('Solar Power Plant Data'!A671)</f>
        <v>27</v>
      </c>
      <c r="C672" s="21">
        <f>MONTH('Solar Power Plant Data'!A671)</f>
        <v>1</v>
      </c>
      <c r="D672" s="21" t="str">
        <f>TEXT('Solar Power Plant Data'!A671,"ddd")</f>
        <v>Sat</v>
      </c>
      <c r="E672" s="21">
        <f t="shared" si="1"/>
        <v>1</v>
      </c>
      <c r="F672" s="19">
        <f t="array" ref="F672">IF(ROW()&lt;25,"",INDEX('Solar Power Plant Data'!H:H,ROW()-1))</f>
        <v>0</v>
      </c>
      <c r="G672" s="19">
        <f>IF(ROW()&lt;25,"",AVERAGE(OFFSET('Solar Power Plant Data'!H694,-23,0,24,1)))
</f>
        <v>0</v>
      </c>
      <c r="H672" s="21">
        <f>'Solar Power Plant Data'!H671/MAX('Solar Power Plant Data'!E671,0.0001)
</f>
        <v>0</v>
      </c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</row>
    <row r="673">
      <c r="A673" s="21">
        <f>HOUR('Solar Power Plant Data'!A672)</f>
        <v>2</v>
      </c>
      <c r="B673" s="21">
        <f>DAY('Solar Power Plant Data'!A672)</f>
        <v>28</v>
      </c>
      <c r="C673" s="21">
        <f>MONTH('Solar Power Plant Data'!A672)</f>
        <v>1</v>
      </c>
      <c r="D673" s="21" t="str">
        <f>TEXT('Solar Power Plant Data'!A672,"ddd")</f>
        <v>Sun</v>
      </c>
      <c r="E673" s="21">
        <f t="shared" si="1"/>
        <v>1</v>
      </c>
      <c r="F673" s="19">
        <f t="array" ref="F673">IF(ROW()&lt;25,"",INDEX('Solar Power Plant Data'!H:H,ROW()-1))</f>
        <v>0</v>
      </c>
      <c r="G673" s="19">
        <f>IF(ROW()&lt;25,"",AVERAGE(OFFSET('Solar Power Plant Data'!H695,-23,0,24,1)))
</f>
        <v>0</v>
      </c>
      <c r="H673" s="21">
        <f>'Solar Power Plant Data'!H672/MAX('Solar Power Plant Data'!E672,0.0001)
</f>
        <v>0</v>
      </c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</row>
    <row r="674">
      <c r="A674" s="21">
        <f>HOUR('Solar Power Plant Data'!A673)</f>
        <v>2</v>
      </c>
      <c r="B674" s="21">
        <f>DAY('Solar Power Plant Data'!A673)</f>
        <v>29</v>
      </c>
      <c r="C674" s="21">
        <f>MONTH('Solar Power Plant Data'!A673)</f>
        <v>1</v>
      </c>
      <c r="D674" s="21" t="str">
        <f>TEXT('Solar Power Plant Data'!A673,"ddd")</f>
        <v>Mon</v>
      </c>
      <c r="E674" s="21">
        <f t="shared" si="1"/>
        <v>0</v>
      </c>
      <c r="F674" s="19">
        <f t="array" ref="F674">IF(ROW()&lt;25,"",INDEX('Solar Power Plant Data'!H:H,ROW()-1))</f>
        <v>0</v>
      </c>
      <c r="G674" s="19">
        <f>IF(ROW()&lt;25,"",AVERAGE(OFFSET('Solar Power Plant Data'!H696,-23,0,24,1)))
</f>
        <v>0</v>
      </c>
      <c r="H674" s="21">
        <f>'Solar Power Plant Data'!H673/MAX('Solar Power Plant Data'!E673,0.0001)
</f>
        <v>0</v>
      </c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</row>
    <row r="675">
      <c r="A675" s="21">
        <f>HOUR('Solar Power Plant Data'!A674)</f>
        <v>2</v>
      </c>
      <c r="B675" s="21">
        <f>DAY('Solar Power Plant Data'!A674)</f>
        <v>30</v>
      </c>
      <c r="C675" s="21">
        <f>MONTH('Solar Power Plant Data'!A674)</f>
        <v>1</v>
      </c>
      <c r="D675" s="21" t="str">
        <f>TEXT('Solar Power Plant Data'!A674,"ddd")</f>
        <v>Tue</v>
      </c>
      <c r="E675" s="21">
        <f t="shared" si="1"/>
        <v>0</v>
      </c>
      <c r="F675" s="19">
        <f t="array" ref="F675">IF(ROW()&lt;25,"",INDEX('Solar Power Plant Data'!H:H,ROW()-1))</f>
        <v>0</v>
      </c>
      <c r="G675" s="19">
        <f>IF(ROW()&lt;25,"",AVERAGE(OFFSET('Solar Power Plant Data'!H697,-23,0,24,1)))
</f>
        <v>0</v>
      </c>
      <c r="H675" s="21">
        <f>'Solar Power Plant Data'!H674/MAX('Solar Power Plant Data'!E674,0.0001)
</f>
        <v>0</v>
      </c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</row>
    <row r="676">
      <c r="A676" s="21">
        <f>HOUR('Solar Power Plant Data'!A675)</f>
        <v>2</v>
      </c>
      <c r="B676" s="21">
        <f>DAY('Solar Power Plant Data'!A675)</f>
        <v>31</v>
      </c>
      <c r="C676" s="21">
        <f>MONTH('Solar Power Plant Data'!A675)</f>
        <v>1</v>
      </c>
      <c r="D676" s="21" t="str">
        <f>TEXT('Solar Power Plant Data'!A675,"ddd")</f>
        <v>Wed</v>
      </c>
      <c r="E676" s="21">
        <f t="shared" si="1"/>
        <v>0</v>
      </c>
      <c r="F676" s="19">
        <f t="array" ref="F676">IF(ROW()&lt;25,"",INDEX('Solar Power Plant Data'!H:H,ROW()-1))</f>
        <v>0</v>
      </c>
      <c r="G676" s="19">
        <f>IF(ROW()&lt;25,"",AVERAGE(OFFSET('Solar Power Plant Data'!H698,-23,0,24,1)))
</f>
        <v>0</v>
      </c>
      <c r="H676" s="21">
        <f>'Solar Power Plant Data'!H675/MAX('Solar Power Plant Data'!E675,0.0001)
</f>
        <v>0</v>
      </c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</row>
    <row r="677">
      <c r="A677" s="21">
        <f>HOUR('Solar Power Plant Data'!A676)</f>
        <v>2</v>
      </c>
      <c r="B677" s="21">
        <f>DAY('Solar Power Plant Data'!A676)</f>
        <v>1</v>
      </c>
      <c r="C677" s="21">
        <f>MONTH('Solar Power Plant Data'!A676)</f>
        <v>2</v>
      </c>
      <c r="D677" s="21" t="str">
        <f>TEXT('Solar Power Plant Data'!A676,"ddd")</f>
        <v>Thu</v>
      </c>
      <c r="E677" s="21">
        <f t="shared" si="1"/>
        <v>0</v>
      </c>
      <c r="F677" s="19">
        <f t="array" ref="F677">IF(ROW()&lt;25,"",INDEX('Solar Power Plant Data'!H:H,ROW()-1))</f>
        <v>0</v>
      </c>
      <c r="G677" s="19">
        <f>IF(ROW()&lt;25,"",AVERAGE(OFFSET('Solar Power Plant Data'!H699,-23,0,24,1)))
</f>
        <v>0</v>
      </c>
      <c r="H677" s="21">
        <f>'Solar Power Plant Data'!H676/MAX('Solar Power Plant Data'!E676,0.0001)
</f>
        <v>0</v>
      </c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</row>
    <row r="678">
      <c r="A678" s="21">
        <f>HOUR('Solar Power Plant Data'!A677)</f>
        <v>2</v>
      </c>
      <c r="B678" s="21">
        <f>DAY('Solar Power Plant Data'!A677)</f>
        <v>2</v>
      </c>
      <c r="C678" s="21">
        <f>MONTH('Solar Power Plant Data'!A677)</f>
        <v>2</v>
      </c>
      <c r="D678" s="21" t="str">
        <f>TEXT('Solar Power Plant Data'!A677,"ddd")</f>
        <v>Fri</v>
      </c>
      <c r="E678" s="21">
        <f t="shared" si="1"/>
        <v>0</v>
      </c>
      <c r="F678" s="19">
        <f t="array" ref="F678">IF(ROW()&lt;25,"",INDEX('Solar Power Plant Data'!H:H,ROW()-1))</f>
        <v>0</v>
      </c>
      <c r="G678" s="19">
        <f>IF(ROW()&lt;25,"",AVERAGE(OFFSET('Solar Power Plant Data'!H700,-23,0,24,1)))
</f>
        <v>0</v>
      </c>
      <c r="H678" s="21">
        <f>'Solar Power Plant Data'!H677/MAX('Solar Power Plant Data'!E677,0.0001)
</f>
        <v>0</v>
      </c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</row>
    <row r="679">
      <c r="A679" s="21">
        <f>HOUR('Solar Power Plant Data'!A678)</f>
        <v>2</v>
      </c>
      <c r="B679" s="21">
        <f>DAY('Solar Power Plant Data'!A678)</f>
        <v>3</v>
      </c>
      <c r="C679" s="21">
        <f>MONTH('Solar Power Plant Data'!A678)</f>
        <v>2</v>
      </c>
      <c r="D679" s="21" t="str">
        <f>TEXT('Solar Power Plant Data'!A678,"ddd")</f>
        <v>Sat</v>
      </c>
      <c r="E679" s="21">
        <f t="shared" si="1"/>
        <v>1</v>
      </c>
      <c r="F679" s="19">
        <f t="array" ref="F679">IF(ROW()&lt;25,"",INDEX('Solar Power Plant Data'!H:H,ROW()-1))</f>
        <v>0</v>
      </c>
      <c r="G679" s="19">
        <f>IF(ROW()&lt;25,"",AVERAGE(OFFSET('Solar Power Plant Data'!H701,-23,0,24,1)))
</f>
        <v>0</v>
      </c>
      <c r="H679" s="21">
        <f>'Solar Power Plant Data'!H678/MAX('Solar Power Plant Data'!E678,0.0001)
</f>
        <v>0</v>
      </c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</row>
    <row r="680">
      <c r="A680" s="21">
        <f>HOUR('Solar Power Plant Data'!A679)</f>
        <v>2</v>
      </c>
      <c r="B680" s="21">
        <f>DAY('Solar Power Plant Data'!A679)</f>
        <v>4</v>
      </c>
      <c r="C680" s="21">
        <f>MONTH('Solar Power Plant Data'!A679)</f>
        <v>2</v>
      </c>
      <c r="D680" s="21" t="str">
        <f>TEXT('Solar Power Plant Data'!A679,"ddd")</f>
        <v>Sun</v>
      </c>
      <c r="E680" s="21">
        <f t="shared" si="1"/>
        <v>1</v>
      </c>
      <c r="F680" s="19">
        <f t="array" ref="F680">IF(ROW()&lt;25,"",INDEX('Solar Power Plant Data'!H:H,ROW()-1))</f>
        <v>0</v>
      </c>
      <c r="G680" s="19">
        <f>IF(ROW()&lt;25,"",AVERAGE(OFFSET('Solar Power Plant Data'!H702,-23,0,24,1)))
</f>
        <v>0</v>
      </c>
      <c r="H680" s="21">
        <f>'Solar Power Plant Data'!H679/MAX('Solar Power Plant Data'!E679,0.0001)
</f>
        <v>0</v>
      </c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</row>
    <row r="681">
      <c r="A681" s="21">
        <f>HOUR('Solar Power Plant Data'!A680)</f>
        <v>2</v>
      </c>
      <c r="B681" s="21">
        <f>DAY('Solar Power Plant Data'!A680)</f>
        <v>5</v>
      </c>
      <c r="C681" s="21">
        <f>MONTH('Solar Power Plant Data'!A680)</f>
        <v>2</v>
      </c>
      <c r="D681" s="21" t="str">
        <f>TEXT('Solar Power Plant Data'!A680,"ddd")</f>
        <v>Mon</v>
      </c>
      <c r="E681" s="21">
        <f t="shared" si="1"/>
        <v>0</v>
      </c>
      <c r="F681" s="19">
        <f t="array" ref="F681">IF(ROW()&lt;25,"",INDEX('Solar Power Plant Data'!H:H,ROW()-1))</f>
        <v>0</v>
      </c>
      <c r="G681" s="19">
        <f>IF(ROW()&lt;25,"",AVERAGE(OFFSET('Solar Power Plant Data'!H703,-23,0,24,1)))
</f>
        <v>0</v>
      </c>
      <c r="H681" s="21">
        <f>'Solar Power Plant Data'!H680/MAX('Solar Power Plant Data'!E680,0.0001)
</f>
        <v>0</v>
      </c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</row>
    <row r="682">
      <c r="A682" s="21">
        <f>HOUR('Solar Power Plant Data'!A681)</f>
        <v>2</v>
      </c>
      <c r="B682" s="21">
        <f>DAY('Solar Power Plant Data'!A681)</f>
        <v>6</v>
      </c>
      <c r="C682" s="21">
        <f>MONTH('Solar Power Plant Data'!A681)</f>
        <v>2</v>
      </c>
      <c r="D682" s="21" t="str">
        <f>TEXT('Solar Power Plant Data'!A681,"ddd")</f>
        <v>Tue</v>
      </c>
      <c r="E682" s="21">
        <f t="shared" si="1"/>
        <v>0</v>
      </c>
      <c r="F682" s="19">
        <f t="array" ref="F682">IF(ROW()&lt;25,"",INDEX('Solar Power Plant Data'!H:H,ROW()-1))</f>
        <v>0</v>
      </c>
      <c r="G682" s="19">
        <f>IF(ROW()&lt;25,"",AVERAGE(OFFSET('Solar Power Plant Data'!H704,-23,0,24,1)))
</f>
        <v>0</v>
      </c>
      <c r="H682" s="21">
        <f>'Solar Power Plant Data'!H681/MAX('Solar Power Plant Data'!E681,0.0001)
</f>
        <v>0</v>
      </c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</row>
    <row r="683">
      <c r="A683" s="21">
        <f>HOUR('Solar Power Plant Data'!A682)</f>
        <v>2</v>
      </c>
      <c r="B683" s="21">
        <f>DAY('Solar Power Plant Data'!A682)</f>
        <v>7</v>
      </c>
      <c r="C683" s="21">
        <f>MONTH('Solar Power Plant Data'!A682)</f>
        <v>2</v>
      </c>
      <c r="D683" s="21" t="str">
        <f>TEXT('Solar Power Plant Data'!A682,"ddd")</f>
        <v>Wed</v>
      </c>
      <c r="E683" s="21">
        <f t="shared" si="1"/>
        <v>0</v>
      </c>
      <c r="F683" s="19">
        <f t="array" ref="F683">IF(ROW()&lt;25,"",INDEX('Solar Power Plant Data'!H:H,ROW()-1))</f>
        <v>0</v>
      </c>
      <c r="G683" s="19">
        <f>IF(ROW()&lt;25,"",AVERAGE(OFFSET('Solar Power Plant Data'!H705,-23,0,24,1)))
</f>
        <v>0</v>
      </c>
      <c r="H683" s="21">
        <f>'Solar Power Plant Data'!H682/MAX('Solar Power Plant Data'!E682,0.0001)
</f>
        <v>0</v>
      </c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</row>
    <row r="684">
      <c r="A684" s="21">
        <f>HOUR('Solar Power Plant Data'!A683)</f>
        <v>2</v>
      </c>
      <c r="B684" s="21">
        <f>DAY('Solar Power Plant Data'!A683)</f>
        <v>8</v>
      </c>
      <c r="C684" s="21">
        <f>MONTH('Solar Power Plant Data'!A683)</f>
        <v>2</v>
      </c>
      <c r="D684" s="21" t="str">
        <f>TEXT('Solar Power Plant Data'!A683,"ddd")</f>
        <v>Thu</v>
      </c>
      <c r="E684" s="21">
        <f t="shared" si="1"/>
        <v>0</v>
      </c>
      <c r="F684" s="19">
        <f t="array" ref="F684">IF(ROW()&lt;25,"",INDEX('Solar Power Plant Data'!H:H,ROW()-1))</f>
        <v>0</v>
      </c>
      <c r="G684" s="19">
        <f>IF(ROW()&lt;25,"",AVERAGE(OFFSET('Solar Power Plant Data'!H706,-23,0,24,1)))
</f>
        <v>0</v>
      </c>
      <c r="H684" s="21">
        <f>'Solar Power Plant Data'!H683/MAX('Solar Power Plant Data'!E683,0.0001)
</f>
        <v>0</v>
      </c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</row>
    <row r="685">
      <c r="A685" s="21">
        <f>HOUR('Solar Power Plant Data'!A684)</f>
        <v>2</v>
      </c>
      <c r="B685" s="21">
        <f>DAY('Solar Power Plant Data'!A684)</f>
        <v>9</v>
      </c>
      <c r="C685" s="21">
        <f>MONTH('Solar Power Plant Data'!A684)</f>
        <v>2</v>
      </c>
      <c r="D685" s="21" t="str">
        <f>TEXT('Solar Power Plant Data'!A684,"ddd")</f>
        <v>Fri</v>
      </c>
      <c r="E685" s="21">
        <f t="shared" si="1"/>
        <v>0</v>
      </c>
      <c r="F685" s="19">
        <f t="array" ref="F685">IF(ROW()&lt;25,"",INDEX('Solar Power Plant Data'!H:H,ROW()-1))</f>
        <v>0</v>
      </c>
      <c r="G685" s="19">
        <f>IF(ROW()&lt;25,"",AVERAGE(OFFSET('Solar Power Plant Data'!H707,-23,0,24,1)))
</f>
        <v>0</v>
      </c>
      <c r="H685" s="21">
        <f>'Solar Power Plant Data'!H684/MAX('Solar Power Plant Data'!E684,0.0001)
</f>
        <v>0</v>
      </c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</row>
    <row r="686">
      <c r="A686" s="21">
        <f>HOUR('Solar Power Plant Data'!A685)</f>
        <v>2</v>
      </c>
      <c r="B686" s="21">
        <f>DAY('Solar Power Plant Data'!A685)</f>
        <v>10</v>
      </c>
      <c r="C686" s="21">
        <f>MONTH('Solar Power Plant Data'!A685)</f>
        <v>2</v>
      </c>
      <c r="D686" s="21" t="str">
        <f>TEXT('Solar Power Plant Data'!A685,"ddd")</f>
        <v>Sat</v>
      </c>
      <c r="E686" s="21">
        <f t="shared" si="1"/>
        <v>1</v>
      </c>
      <c r="F686" s="19">
        <f t="array" ref="F686">IF(ROW()&lt;25,"",INDEX('Solar Power Plant Data'!H:H,ROW()-1))</f>
        <v>0</v>
      </c>
      <c r="G686" s="19">
        <f>IF(ROW()&lt;25,"",AVERAGE(OFFSET('Solar Power Plant Data'!H708,-23,0,24,1)))
</f>
        <v>0</v>
      </c>
      <c r="H686" s="21">
        <f>'Solar Power Plant Data'!H685/MAX('Solar Power Plant Data'!E685,0.0001)
</f>
        <v>0</v>
      </c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</row>
    <row r="687">
      <c r="A687" s="21">
        <f>HOUR('Solar Power Plant Data'!A686)</f>
        <v>2</v>
      </c>
      <c r="B687" s="21">
        <f>DAY('Solar Power Plant Data'!A686)</f>
        <v>11</v>
      </c>
      <c r="C687" s="21">
        <f>MONTH('Solar Power Plant Data'!A686)</f>
        <v>2</v>
      </c>
      <c r="D687" s="21" t="str">
        <f>TEXT('Solar Power Plant Data'!A686,"ddd")</f>
        <v>Sun</v>
      </c>
      <c r="E687" s="21">
        <f t="shared" si="1"/>
        <v>1</v>
      </c>
      <c r="F687" s="19">
        <f t="array" ref="F687">IF(ROW()&lt;25,"",INDEX('Solar Power Plant Data'!H:H,ROW()-1))</f>
        <v>0</v>
      </c>
      <c r="G687" s="19">
        <f>IF(ROW()&lt;25,"",AVERAGE(OFFSET('Solar Power Plant Data'!H709,-23,0,24,1)))
</f>
        <v>48402.79167</v>
      </c>
      <c r="H687" s="21">
        <f>'Solar Power Plant Data'!H686/MAX('Solar Power Plant Data'!E686,0.0001)
</f>
        <v>0</v>
      </c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</row>
    <row r="688">
      <c r="A688" s="21">
        <f>HOUR('Solar Power Plant Data'!A687)</f>
        <v>2</v>
      </c>
      <c r="B688" s="21">
        <f>DAY('Solar Power Plant Data'!A687)</f>
        <v>12</v>
      </c>
      <c r="C688" s="21">
        <f>MONTH('Solar Power Plant Data'!A687)</f>
        <v>2</v>
      </c>
      <c r="D688" s="21" t="str">
        <f>TEXT('Solar Power Plant Data'!A687,"ddd")</f>
        <v>Mon</v>
      </c>
      <c r="E688" s="21">
        <f t="shared" si="1"/>
        <v>0</v>
      </c>
      <c r="F688" s="19">
        <f t="array" ref="F688">IF(ROW()&lt;25,"",INDEX('Solar Power Plant Data'!H:H,ROW()-1))</f>
        <v>0</v>
      </c>
      <c r="G688" s="19">
        <f>IF(ROW()&lt;25,"",AVERAGE(OFFSET('Solar Power Plant Data'!H710,-23,0,24,1)))
</f>
        <v>48417.04167</v>
      </c>
      <c r="H688" s="21">
        <f>'Solar Power Plant Data'!H687/MAX('Solar Power Plant Data'!E687,0.0001)
</f>
        <v>0</v>
      </c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</row>
    <row r="689">
      <c r="A689" s="21">
        <f>HOUR('Solar Power Plant Data'!A688)</f>
        <v>2</v>
      </c>
      <c r="B689" s="21">
        <f>DAY('Solar Power Plant Data'!A688)</f>
        <v>13</v>
      </c>
      <c r="C689" s="21">
        <f>MONTH('Solar Power Plant Data'!A688)</f>
        <v>2</v>
      </c>
      <c r="D689" s="21" t="str">
        <f>TEXT('Solar Power Plant Data'!A688,"ddd")</f>
        <v>Tue</v>
      </c>
      <c r="E689" s="21">
        <f t="shared" si="1"/>
        <v>0</v>
      </c>
      <c r="F689" s="19">
        <f t="array" ref="F689">IF(ROW()&lt;25,"",INDEX('Solar Power Plant Data'!H:H,ROW()-1))</f>
        <v>0</v>
      </c>
      <c r="G689" s="19">
        <f>IF(ROW()&lt;25,"",AVERAGE(OFFSET('Solar Power Plant Data'!H711,-23,0,24,1)))
</f>
        <v>48430.375</v>
      </c>
      <c r="H689" s="21">
        <f>'Solar Power Plant Data'!H688/MAX('Solar Power Plant Data'!E688,0.0001)
</f>
        <v>0</v>
      </c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</row>
    <row r="690">
      <c r="A690" s="21">
        <f>HOUR('Solar Power Plant Data'!A689)</f>
        <v>2</v>
      </c>
      <c r="B690" s="21">
        <f>DAY('Solar Power Plant Data'!A689)</f>
        <v>14</v>
      </c>
      <c r="C690" s="21">
        <f>MONTH('Solar Power Plant Data'!A689)</f>
        <v>2</v>
      </c>
      <c r="D690" s="21" t="str">
        <f>TEXT('Solar Power Plant Data'!A689,"ddd")</f>
        <v>Wed</v>
      </c>
      <c r="E690" s="21">
        <f t="shared" si="1"/>
        <v>0</v>
      </c>
      <c r="F690" s="19">
        <f t="array" ref="F690">IF(ROW()&lt;25,"",INDEX('Solar Power Plant Data'!H:H,ROW()-1))</f>
        <v>0</v>
      </c>
      <c r="G690" s="19">
        <f>IF(ROW()&lt;25,"",AVERAGE(OFFSET('Solar Power Plant Data'!H712,-23,0,24,1)))
</f>
        <v>48438.625</v>
      </c>
      <c r="H690" s="21">
        <f>'Solar Power Plant Data'!H689/MAX('Solar Power Plant Data'!E689,0.0001)
</f>
        <v>0</v>
      </c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</row>
    <row r="691">
      <c r="A691" s="21">
        <f>HOUR('Solar Power Plant Data'!A690)</f>
        <v>2</v>
      </c>
      <c r="B691" s="21">
        <f>DAY('Solar Power Plant Data'!A690)</f>
        <v>15</v>
      </c>
      <c r="C691" s="21">
        <f>MONTH('Solar Power Plant Data'!A690)</f>
        <v>2</v>
      </c>
      <c r="D691" s="21" t="str">
        <f>TEXT('Solar Power Plant Data'!A690,"ddd")</f>
        <v>Thu</v>
      </c>
      <c r="E691" s="21">
        <f t="shared" si="1"/>
        <v>0</v>
      </c>
      <c r="F691" s="19">
        <f t="array" ref="F691">IF(ROW()&lt;25,"",INDEX('Solar Power Plant Data'!H:H,ROW()-1))</f>
        <v>0</v>
      </c>
      <c r="G691" s="19">
        <f>IF(ROW()&lt;25,"",AVERAGE(OFFSET('Solar Power Plant Data'!H713,-23,0,24,1)))
</f>
        <v>82466.375</v>
      </c>
      <c r="H691" s="21">
        <f>'Solar Power Plant Data'!H690/MAX('Solar Power Plant Data'!E690,0.0001)
</f>
        <v>0</v>
      </c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</row>
    <row r="692">
      <c r="A692" s="21">
        <f>HOUR('Solar Power Plant Data'!A691)</f>
        <v>2</v>
      </c>
      <c r="B692" s="21">
        <f>DAY('Solar Power Plant Data'!A691)</f>
        <v>16</v>
      </c>
      <c r="C692" s="21">
        <f>MONTH('Solar Power Plant Data'!A691)</f>
        <v>2</v>
      </c>
      <c r="D692" s="21" t="str">
        <f>TEXT('Solar Power Plant Data'!A691,"ddd")</f>
        <v>Fri</v>
      </c>
      <c r="E692" s="21">
        <f t="shared" si="1"/>
        <v>0</v>
      </c>
      <c r="F692" s="19">
        <f t="array" ref="F692">IF(ROW()&lt;25,"",INDEX('Solar Power Plant Data'!H:H,ROW()-1))</f>
        <v>0</v>
      </c>
      <c r="G692" s="19">
        <f>IF(ROW()&lt;25,"",AVERAGE(OFFSET('Solar Power Plant Data'!H714,-23,0,24,1)))
</f>
        <v>87119.16667</v>
      </c>
      <c r="H692" s="21">
        <f>'Solar Power Plant Data'!H691/MAX('Solar Power Plant Data'!E691,0.0001)
</f>
        <v>0</v>
      </c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</row>
    <row r="693">
      <c r="A693" s="21">
        <f>HOUR('Solar Power Plant Data'!A692)</f>
        <v>2</v>
      </c>
      <c r="B693" s="21">
        <f>DAY('Solar Power Plant Data'!A692)</f>
        <v>17</v>
      </c>
      <c r="C693" s="21">
        <f>MONTH('Solar Power Plant Data'!A692)</f>
        <v>2</v>
      </c>
      <c r="D693" s="21" t="str">
        <f>TEXT('Solar Power Plant Data'!A692,"ddd")</f>
        <v>Sat</v>
      </c>
      <c r="E693" s="21">
        <f t="shared" si="1"/>
        <v>1</v>
      </c>
      <c r="F693" s="19">
        <f t="array" ref="F693">IF(ROW()&lt;25,"",INDEX('Solar Power Plant Data'!H:H,ROW()-1))</f>
        <v>0</v>
      </c>
      <c r="G693" s="19">
        <f>IF(ROW()&lt;25,"",AVERAGE(OFFSET('Solar Power Plant Data'!H715,-23,0,24,1)))
</f>
        <v>87119.16667</v>
      </c>
      <c r="H693" s="21">
        <f>'Solar Power Plant Data'!H692/MAX('Solar Power Plant Data'!E692,0.0001)
</f>
        <v>0</v>
      </c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</row>
    <row r="694">
      <c r="A694" s="21">
        <f>HOUR('Solar Power Plant Data'!A693)</f>
        <v>2</v>
      </c>
      <c r="B694" s="21">
        <f>DAY('Solar Power Plant Data'!A693)</f>
        <v>18</v>
      </c>
      <c r="C694" s="21">
        <f>MONTH('Solar Power Plant Data'!A693)</f>
        <v>2</v>
      </c>
      <c r="D694" s="21" t="str">
        <f>TEXT('Solar Power Plant Data'!A693,"ddd")</f>
        <v>Sun</v>
      </c>
      <c r="E694" s="21">
        <f t="shared" si="1"/>
        <v>1</v>
      </c>
      <c r="F694" s="19">
        <f t="array" ref="F694">IF(ROW()&lt;25,"",INDEX('Solar Power Plant Data'!H:H,ROW()-1))</f>
        <v>0</v>
      </c>
      <c r="G694" s="19">
        <f>IF(ROW()&lt;25,"",AVERAGE(OFFSET('Solar Power Plant Data'!H716,-23,0,24,1)))
</f>
        <v>87119.16667</v>
      </c>
      <c r="H694" s="21">
        <f>'Solar Power Plant Data'!H693/MAX('Solar Power Plant Data'!E693,0.0001)
</f>
        <v>0</v>
      </c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</row>
    <row r="695">
      <c r="A695" s="21">
        <f>HOUR('Solar Power Plant Data'!A694)</f>
        <v>2</v>
      </c>
      <c r="B695" s="21">
        <f>DAY('Solar Power Plant Data'!A694)</f>
        <v>19</v>
      </c>
      <c r="C695" s="21">
        <f>MONTH('Solar Power Plant Data'!A694)</f>
        <v>2</v>
      </c>
      <c r="D695" s="21" t="str">
        <f>TEXT('Solar Power Plant Data'!A694,"ddd")</f>
        <v>Mon</v>
      </c>
      <c r="E695" s="21">
        <f t="shared" si="1"/>
        <v>0</v>
      </c>
      <c r="F695" s="19">
        <f t="array" ref="F695">IF(ROW()&lt;25,"",INDEX('Solar Power Plant Data'!H:H,ROW()-1))</f>
        <v>0</v>
      </c>
      <c r="G695" s="19">
        <f>IF(ROW()&lt;25,"",AVERAGE(OFFSET('Solar Power Plant Data'!H717,-23,0,24,1)))
</f>
        <v>87119.16667</v>
      </c>
      <c r="H695" s="21">
        <f>'Solar Power Plant Data'!H694/MAX('Solar Power Plant Data'!E694,0.0001)
</f>
        <v>0</v>
      </c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</row>
    <row r="696">
      <c r="A696" s="21">
        <f>HOUR('Solar Power Plant Data'!A695)</f>
        <v>2</v>
      </c>
      <c r="B696" s="21">
        <f>DAY('Solar Power Plant Data'!A695)</f>
        <v>20</v>
      </c>
      <c r="C696" s="21">
        <f>MONTH('Solar Power Plant Data'!A695)</f>
        <v>2</v>
      </c>
      <c r="D696" s="21" t="str">
        <f>TEXT('Solar Power Plant Data'!A695,"ddd")</f>
        <v>Tue</v>
      </c>
      <c r="E696" s="21">
        <f t="shared" si="1"/>
        <v>0</v>
      </c>
      <c r="F696" s="19">
        <f t="array" ref="F696">IF(ROW()&lt;25,"",INDEX('Solar Power Plant Data'!H:H,ROW()-1))</f>
        <v>0</v>
      </c>
      <c r="G696" s="19">
        <f>IF(ROW()&lt;25,"",AVERAGE(OFFSET('Solar Power Plant Data'!H718,-23,0,24,1)))
</f>
        <v>87119.16667</v>
      </c>
      <c r="H696" s="21">
        <f>'Solar Power Plant Data'!H695/MAX('Solar Power Plant Data'!E695,0.0001)
</f>
        <v>0</v>
      </c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</row>
    <row r="697">
      <c r="A697" s="21">
        <f>HOUR('Solar Power Plant Data'!A696)</f>
        <v>2</v>
      </c>
      <c r="B697" s="21">
        <f>DAY('Solar Power Plant Data'!A696)</f>
        <v>21</v>
      </c>
      <c r="C697" s="21">
        <f>MONTH('Solar Power Plant Data'!A696)</f>
        <v>2</v>
      </c>
      <c r="D697" s="21" t="str">
        <f>TEXT('Solar Power Plant Data'!A696,"ddd")</f>
        <v>Wed</v>
      </c>
      <c r="E697" s="21">
        <f t="shared" si="1"/>
        <v>0</v>
      </c>
      <c r="F697" s="19">
        <f t="array" ref="F697">IF(ROW()&lt;25,"",INDEX('Solar Power Plant Data'!H:H,ROW()-1))</f>
        <v>0</v>
      </c>
      <c r="G697" s="19">
        <f>IF(ROW()&lt;25,"",AVERAGE(OFFSET('Solar Power Plant Data'!H719,-23,0,24,1)))
</f>
        <v>87119.16667</v>
      </c>
      <c r="H697" s="21">
        <f>'Solar Power Plant Data'!H696/MAX('Solar Power Plant Data'!E696,0.0001)
</f>
        <v>0</v>
      </c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</row>
    <row r="698">
      <c r="A698" s="21">
        <f>HOUR('Solar Power Plant Data'!A697)</f>
        <v>2</v>
      </c>
      <c r="B698" s="21">
        <f>DAY('Solar Power Plant Data'!A697)</f>
        <v>22</v>
      </c>
      <c r="C698" s="21">
        <f>MONTH('Solar Power Plant Data'!A697)</f>
        <v>2</v>
      </c>
      <c r="D698" s="21" t="str">
        <f>TEXT('Solar Power Plant Data'!A697,"ddd")</f>
        <v>Thu</v>
      </c>
      <c r="E698" s="21">
        <f t="shared" si="1"/>
        <v>0</v>
      </c>
      <c r="F698" s="19">
        <f t="array" ref="F698">IF(ROW()&lt;25,"",INDEX('Solar Power Plant Data'!H:H,ROW()-1))</f>
        <v>0</v>
      </c>
      <c r="G698" s="19">
        <f>IF(ROW()&lt;25,"",AVERAGE(OFFSET('Solar Power Plant Data'!H720,-23,0,24,1)))
</f>
        <v>87119.16667</v>
      </c>
      <c r="H698" s="21">
        <f>'Solar Power Plant Data'!H697/MAX('Solar Power Plant Data'!E697,0.0001)
</f>
        <v>0</v>
      </c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</row>
    <row r="699">
      <c r="A699" s="21">
        <f>HOUR('Solar Power Plant Data'!A698)</f>
        <v>2</v>
      </c>
      <c r="B699" s="21">
        <f>DAY('Solar Power Plant Data'!A698)</f>
        <v>23</v>
      </c>
      <c r="C699" s="21">
        <f>MONTH('Solar Power Plant Data'!A698)</f>
        <v>2</v>
      </c>
      <c r="D699" s="21" t="str">
        <f>TEXT('Solar Power Plant Data'!A698,"ddd")</f>
        <v>Fri</v>
      </c>
      <c r="E699" s="21">
        <f t="shared" si="1"/>
        <v>0</v>
      </c>
      <c r="F699" s="19">
        <f t="array" ref="F699">IF(ROW()&lt;25,"",INDEX('Solar Power Plant Data'!H:H,ROW()-1))</f>
        <v>0</v>
      </c>
      <c r="G699" s="19">
        <f>IF(ROW()&lt;25,"",AVERAGE(OFFSET('Solar Power Plant Data'!H721,-23,0,24,1)))
</f>
        <v>87119.16667</v>
      </c>
      <c r="H699" s="21">
        <f>'Solar Power Plant Data'!H698/MAX('Solar Power Plant Data'!E698,0.0001)
</f>
        <v>0</v>
      </c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</row>
    <row r="700">
      <c r="A700" s="21">
        <f>HOUR('Solar Power Plant Data'!A699)</f>
        <v>2</v>
      </c>
      <c r="B700" s="21">
        <f>DAY('Solar Power Plant Data'!A699)</f>
        <v>24</v>
      </c>
      <c r="C700" s="21">
        <f>MONTH('Solar Power Plant Data'!A699)</f>
        <v>2</v>
      </c>
      <c r="D700" s="21" t="str">
        <f>TEXT('Solar Power Plant Data'!A699,"ddd")</f>
        <v>Sat</v>
      </c>
      <c r="E700" s="21">
        <f t="shared" si="1"/>
        <v>1</v>
      </c>
      <c r="F700" s="19">
        <f t="array" ref="F700">IF(ROW()&lt;25,"",INDEX('Solar Power Plant Data'!H:H,ROW()-1))</f>
        <v>0</v>
      </c>
      <c r="G700" s="19">
        <f>IF(ROW()&lt;25,"",AVERAGE(OFFSET('Solar Power Plant Data'!H722,-23,0,24,1)))
</f>
        <v>87119.16667</v>
      </c>
      <c r="H700" s="21">
        <f>'Solar Power Plant Data'!H699/MAX('Solar Power Plant Data'!E699,0.0001)
</f>
        <v>0</v>
      </c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</row>
    <row r="701">
      <c r="A701" s="21">
        <f>HOUR('Solar Power Plant Data'!A700)</f>
        <v>2</v>
      </c>
      <c r="B701" s="21">
        <f>DAY('Solar Power Plant Data'!A700)</f>
        <v>25</v>
      </c>
      <c r="C701" s="21">
        <f>MONTH('Solar Power Plant Data'!A700)</f>
        <v>2</v>
      </c>
      <c r="D701" s="21" t="str">
        <f>TEXT('Solar Power Plant Data'!A700,"ddd")</f>
        <v>Sun</v>
      </c>
      <c r="E701" s="21">
        <f t="shared" si="1"/>
        <v>1</v>
      </c>
      <c r="F701" s="19">
        <f t="array" ref="F701">IF(ROW()&lt;25,"",INDEX('Solar Power Plant Data'!H:H,ROW()-1))</f>
        <v>0</v>
      </c>
      <c r="G701" s="19">
        <f>IF(ROW()&lt;25,"",AVERAGE(OFFSET('Solar Power Plant Data'!H723,-23,0,24,1)))
</f>
        <v>87119.16667</v>
      </c>
      <c r="H701" s="21">
        <f>'Solar Power Plant Data'!H700/MAX('Solar Power Plant Data'!E700,0.0001)
</f>
        <v>0</v>
      </c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</row>
    <row r="702">
      <c r="A702" s="21">
        <f>HOUR('Solar Power Plant Data'!A701)</f>
        <v>2</v>
      </c>
      <c r="B702" s="21">
        <f>DAY('Solar Power Plant Data'!A701)</f>
        <v>26</v>
      </c>
      <c r="C702" s="21">
        <f>MONTH('Solar Power Plant Data'!A701)</f>
        <v>2</v>
      </c>
      <c r="D702" s="21" t="str">
        <f>TEXT('Solar Power Plant Data'!A701,"ddd")</f>
        <v>Mon</v>
      </c>
      <c r="E702" s="21">
        <f t="shared" si="1"/>
        <v>0</v>
      </c>
      <c r="F702" s="19">
        <f t="array" ref="F702">IF(ROW()&lt;25,"",INDEX('Solar Power Plant Data'!H:H,ROW()-1))</f>
        <v>0</v>
      </c>
      <c r="G702" s="19">
        <f>IF(ROW()&lt;25,"",AVERAGE(OFFSET('Solar Power Plant Data'!H724,-23,0,24,1)))
</f>
        <v>87119.16667</v>
      </c>
      <c r="H702" s="21">
        <f>'Solar Power Plant Data'!H701/MAX('Solar Power Plant Data'!E701,0.0001)
</f>
        <v>0</v>
      </c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</row>
    <row r="703">
      <c r="A703" s="21">
        <f>HOUR('Solar Power Plant Data'!A702)</f>
        <v>2</v>
      </c>
      <c r="B703" s="21">
        <f>DAY('Solar Power Plant Data'!A702)</f>
        <v>27</v>
      </c>
      <c r="C703" s="21">
        <f>MONTH('Solar Power Plant Data'!A702)</f>
        <v>2</v>
      </c>
      <c r="D703" s="21" t="str">
        <f>TEXT('Solar Power Plant Data'!A702,"ddd")</f>
        <v>Tue</v>
      </c>
      <c r="E703" s="21">
        <f t="shared" si="1"/>
        <v>0</v>
      </c>
      <c r="F703" s="19">
        <f t="array" ref="F703">IF(ROW()&lt;25,"",INDEX('Solar Power Plant Data'!H:H,ROW()-1))</f>
        <v>0</v>
      </c>
      <c r="G703" s="19">
        <f>IF(ROW()&lt;25,"",AVERAGE(OFFSET('Solar Power Plant Data'!H725,-23,0,24,1)))
</f>
        <v>87119.16667</v>
      </c>
      <c r="H703" s="21">
        <f>'Solar Power Plant Data'!H702/MAX('Solar Power Plant Data'!E702,0.0001)
</f>
        <v>0</v>
      </c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</row>
    <row r="704">
      <c r="A704" s="21">
        <f>HOUR('Solar Power Plant Data'!A703)</f>
        <v>2</v>
      </c>
      <c r="B704" s="21">
        <f>DAY('Solar Power Plant Data'!A703)</f>
        <v>28</v>
      </c>
      <c r="C704" s="21">
        <f>MONTH('Solar Power Plant Data'!A703)</f>
        <v>2</v>
      </c>
      <c r="D704" s="21" t="str">
        <f>TEXT('Solar Power Plant Data'!A703,"ddd")</f>
        <v>Wed</v>
      </c>
      <c r="E704" s="21">
        <f t="shared" si="1"/>
        <v>0</v>
      </c>
      <c r="F704" s="19">
        <f t="array" ref="F704">IF(ROW()&lt;25,"",INDEX('Solar Power Plant Data'!H:H,ROW()-1))</f>
        <v>0</v>
      </c>
      <c r="G704" s="19">
        <f>IF(ROW()&lt;25,"",AVERAGE(OFFSET('Solar Power Plant Data'!H726,-23,0,24,1)))
</f>
        <v>87119.16667</v>
      </c>
      <c r="H704" s="21">
        <f>'Solar Power Plant Data'!H703/MAX('Solar Power Plant Data'!E703,0.0001)
</f>
        <v>0</v>
      </c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</row>
    <row r="705">
      <c r="A705" s="21">
        <f>HOUR('Solar Power Plant Data'!A704)</f>
        <v>2</v>
      </c>
      <c r="B705" s="21">
        <f>DAY('Solar Power Plant Data'!A704)</f>
        <v>1</v>
      </c>
      <c r="C705" s="21">
        <f>MONTH('Solar Power Plant Data'!A704)</f>
        <v>3</v>
      </c>
      <c r="D705" s="21" t="str">
        <f>TEXT('Solar Power Plant Data'!A704,"ddd")</f>
        <v>Thu</v>
      </c>
      <c r="E705" s="21">
        <f t="shared" si="1"/>
        <v>0</v>
      </c>
      <c r="F705" s="19">
        <f t="array" ref="F705">IF(ROW()&lt;25,"",INDEX('Solar Power Plant Data'!H:H,ROW()-1))</f>
        <v>0</v>
      </c>
      <c r="G705" s="19">
        <f>IF(ROW()&lt;25,"",AVERAGE(OFFSET('Solar Power Plant Data'!H727,-23,0,24,1)))
</f>
        <v>87119.16667</v>
      </c>
      <c r="H705" s="21">
        <f>'Solar Power Plant Data'!H704/MAX('Solar Power Plant Data'!E704,0.0001)
</f>
        <v>0</v>
      </c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</row>
    <row r="706">
      <c r="A706" s="21">
        <f>HOUR('Solar Power Plant Data'!A705)</f>
        <v>2</v>
      </c>
      <c r="B706" s="21">
        <f>DAY('Solar Power Plant Data'!A705)</f>
        <v>2</v>
      </c>
      <c r="C706" s="21">
        <f>MONTH('Solar Power Plant Data'!A705)</f>
        <v>3</v>
      </c>
      <c r="D706" s="21" t="str">
        <f>TEXT('Solar Power Plant Data'!A705,"ddd")</f>
        <v>Fri</v>
      </c>
      <c r="E706" s="21">
        <f t="shared" si="1"/>
        <v>0</v>
      </c>
      <c r="F706" s="19">
        <f t="array" ref="F706">IF(ROW()&lt;25,"",INDEX('Solar Power Plant Data'!H:H,ROW()-1))</f>
        <v>0</v>
      </c>
      <c r="G706" s="19">
        <f>IF(ROW()&lt;25,"",AVERAGE(OFFSET('Solar Power Plant Data'!H728,-23,0,24,1)))
</f>
        <v>87119.16667</v>
      </c>
      <c r="H706" s="21">
        <f>'Solar Power Plant Data'!H705/MAX('Solar Power Plant Data'!E705,0.0001)
</f>
        <v>0</v>
      </c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</row>
    <row r="707">
      <c r="A707" s="21">
        <f>HOUR('Solar Power Plant Data'!A706)</f>
        <v>2</v>
      </c>
      <c r="B707" s="21">
        <f>DAY('Solar Power Plant Data'!A706)</f>
        <v>3</v>
      </c>
      <c r="C707" s="21">
        <f>MONTH('Solar Power Plant Data'!A706)</f>
        <v>3</v>
      </c>
      <c r="D707" s="21" t="str">
        <f>TEXT('Solar Power Plant Data'!A706,"ddd")</f>
        <v>Sat</v>
      </c>
      <c r="E707" s="21">
        <f t="shared" si="1"/>
        <v>1</v>
      </c>
      <c r="F707" s="19">
        <f t="array" ref="F707">IF(ROW()&lt;25,"",INDEX('Solar Power Plant Data'!H:H,ROW()-1))</f>
        <v>0</v>
      </c>
      <c r="G707" s="19">
        <f>IF(ROW()&lt;25,"",AVERAGE(OFFSET('Solar Power Plant Data'!H729,-23,0,24,1)))
</f>
        <v>87119.16667</v>
      </c>
      <c r="H707" s="21">
        <f>'Solar Power Plant Data'!H706/MAX('Solar Power Plant Data'!E706,0.0001)
</f>
        <v>0</v>
      </c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</row>
    <row r="708">
      <c r="A708" s="21">
        <f>HOUR('Solar Power Plant Data'!A707)</f>
        <v>2</v>
      </c>
      <c r="B708" s="21">
        <f>DAY('Solar Power Plant Data'!A707)</f>
        <v>4</v>
      </c>
      <c r="C708" s="21">
        <f>MONTH('Solar Power Plant Data'!A707)</f>
        <v>3</v>
      </c>
      <c r="D708" s="21" t="str">
        <f>TEXT('Solar Power Plant Data'!A707,"ddd")</f>
        <v>Sun</v>
      </c>
      <c r="E708" s="21">
        <f t="shared" si="1"/>
        <v>1</v>
      </c>
      <c r="F708" s="19">
        <f t="array" ref="F708">IF(ROW()&lt;25,"",INDEX('Solar Power Plant Data'!H:H,ROW()-1))</f>
        <v>0</v>
      </c>
      <c r="G708" s="19">
        <f>IF(ROW()&lt;25,"",AVERAGE(OFFSET('Solar Power Plant Data'!H730,-23,0,24,1)))
</f>
        <v>87119.16667</v>
      </c>
      <c r="H708" s="21">
        <f>'Solar Power Plant Data'!H707/MAX('Solar Power Plant Data'!E707,0.0001)
</f>
        <v>0</v>
      </c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</row>
    <row r="709">
      <c r="A709" s="21">
        <f>HOUR('Solar Power Plant Data'!A708)</f>
        <v>2</v>
      </c>
      <c r="B709" s="21">
        <f>DAY('Solar Power Plant Data'!A708)</f>
        <v>5</v>
      </c>
      <c r="C709" s="21">
        <f>MONTH('Solar Power Plant Data'!A708)</f>
        <v>3</v>
      </c>
      <c r="D709" s="21" t="str">
        <f>TEXT('Solar Power Plant Data'!A708,"ddd")</f>
        <v>Mon</v>
      </c>
      <c r="E709" s="21">
        <f t="shared" si="1"/>
        <v>0</v>
      </c>
      <c r="F709" s="19">
        <f t="array" ref="F709">IF(ROW()&lt;25,"",INDEX('Solar Power Plant Data'!H:H,ROW()-1))</f>
        <v>0</v>
      </c>
      <c r="G709" s="19">
        <f>IF(ROW()&lt;25,"",AVERAGE(OFFSET('Solar Power Plant Data'!H731,-23,0,24,1)))
</f>
        <v>87119.16667</v>
      </c>
      <c r="H709" s="21">
        <f>'Solar Power Plant Data'!H708/MAX('Solar Power Plant Data'!E708,0.0001)
</f>
        <v>0</v>
      </c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</row>
    <row r="710">
      <c r="A710" s="21">
        <f>HOUR('Solar Power Plant Data'!A709)</f>
        <v>2</v>
      </c>
      <c r="B710" s="21">
        <f>DAY('Solar Power Plant Data'!A709)</f>
        <v>6</v>
      </c>
      <c r="C710" s="21">
        <f>MONTH('Solar Power Plant Data'!A709)</f>
        <v>3</v>
      </c>
      <c r="D710" s="21" t="str">
        <f>TEXT('Solar Power Plant Data'!A709,"ddd")</f>
        <v>Tue</v>
      </c>
      <c r="E710" s="21">
        <f t="shared" si="1"/>
        <v>0</v>
      </c>
      <c r="F710" s="19">
        <f t="array" ref="F710">IF(ROW()&lt;25,"",INDEX('Solar Power Plant Data'!H:H,ROW()-1))</f>
        <v>1161667</v>
      </c>
      <c r="G710" s="19">
        <f>IF(ROW()&lt;25,"",AVERAGE(OFFSET('Solar Power Plant Data'!H732,-23,0,24,1)))
</f>
        <v>87119.16667</v>
      </c>
      <c r="H710" s="21">
        <f>'Solar Power Plant Data'!H709/MAX('Solar Power Plant Data'!E709,0.0001)
</f>
        <v>11616670000</v>
      </c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</row>
    <row r="711">
      <c r="A711" s="21">
        <f>HOUR('Solar Power Plant Data'!A710)</f>
        <v>2</v>
      </c>
      <c r="B711" s="21">
        <f>DAY('Solar Power Plant Data'!A710)</f>
        <v>7</v>
      </c>
      <c r="C711" s="21">
        <f>MONTH('Solar Power Plant Data'!A710)</f>
        <v>3</v>
      </c>
      <c r="D711" s="21" t="str">
        <f>TEXT('Solar Power Plant Data'!A710,"ddd")</f>
        <v>Wed</v>
      </c>
      <c r="E711" s="21">
        <f t="shared" si="1"/>
        <v>0</v>
      </c>
      <c r="F711" s="19">
        <f t="array" ref="F711">IF(ROW()&lt;25,"",INDEX('Solar Power Plant Data'!H:H,ROW()-1))</f>
        <v>342</v>
      </c>
      <c r="G711" s="19">
        <f>IF(ROW()&lt;25,"",AVERAGE(OFFSET('Solar Power Plant Data'!H733,-23,0,24,1)))
</f>
        <v>58021.91667</v>
      </c>
      <c r="H711" s="21">
        <f>'Solar Power Plant Data'!H710/MAX('Solar Power Plant Data'!E710,0.0001)
</f>
        <v>3420000</v>
      </c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</row>
    <row r="712">
      <c r="A712" s="21">
        <f>HOUR('Solar Power Plant Data'!A711)</f>
        <v>2</v>
      </c>
      <c r="B712" s="21">
        <f>DAY('Solar Power Plant Data'!A711)</f>
        <v>8</v>
      </c>
      <c r="C712" s="21">
        <f>MONTH('Solar Power Plant Data'!A711)</f>
        <v>3</v>
      </c>
      <c r="D712" s="21" t="str">
        <f>TEXT('Solar Power Plant Data'!A711,"ddd")</f>
        <v>Thu</v>
      </c>
      <c r="E712" s="21">
        <f t="shared" si="1"/>
        <v>0</v>
      </c>
      <c r="F712" s="19">
        <f t="array" ref="F712">IF(ROW()&lt;25,"",INDEX('Solar Power Plant Data'!H:H,ROW()-1))</f>
        <v>320</v>
      </c>
      <c r="G712" s="19">
        <f>IF(ROW()&lt;25,"",AVERAGE(OFFSET('Solar Power Plant Data'!H734,-23,0,24,1)))
</f>
        <v>198077.0833</v>
      </c>
      <c r="H712" s="21">
        <f>'Solar Power Plant Data'!H711/MAX('Solar Power Plant Data'!E711,0.0001)
</f>
        <v>3200000</v>
      </c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</row>
    <row r="713">
      <c r="A713" s="21">
        <f>HOUR('Solar Power Plant Data'!A712)</f>
        <v>2</v>
      </c>
      <c r="B713" s="21">
        <f>DAY('Solar Power Plant Data'!A712)</f>
        <v>9</v>
      </c>
      <c r="C713" s="21">
        <f>MONTH('Solar Power Plant Data'!A712)</f>
        <v>3</v>
      </c>
      <c r="D713" s="21" t="str">
        <f>TEXT('Solar Power Plant Data'!A712,"ddd")</f>
        <v>Fri</v>
      </c>
      <c r="E713" s="21">
        <f t="shared" si="1"/>
        <v>0</v>
      </c>
      <c r="F713" s="19">
        <f t="array" ref="F713">IF(ROW()&lt;25,"",INDEX('Solar Power Plant Data'!H:H,ROW()-1))</f>
        <v>198</v>
      </c>
      <c r="G713" s="19">
        <f>IF(ROW()&lt;25,"",AVERAGE(OFFSET('Solar Power Plant Data'!H735,-23,0,24,1)))
</f>
        <v>415285.9167</v>
      </c>
      <c r="H713" s="21">
        <f>'Solar Power Plant Data'!H712/MAX('Solar Power Plant Data'!E712,0.0001)
</f>
        <v>1980000</v>
      </c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</row>
    <row r="714">
      <c r="A714" s="21">
        <f>HOUR('Solar Power Plant Data'!A713)</f>
        <v>2</v>
      </c>
      <c r="B714" s="21">
        <f>DAY('Solar Power Plant Data'!A713)</f>
        <v>10</v>
      </c>
      <c r="C714" s="21">
        <f>MONTH('Solar Power Plant Data'!A713)</f>
        <v>3</v>
      </c>
      <c r="D714" s="21" t="str">
        <f>TEXT('Solar Power Plant Data'!A713,"ddd")</f>
        <v>Sat</v>
      </c>
      <c r="E714" s="21">
        <f t="shared" si="1"/>
        <v>1</v>
      </c>
      <c r="F714" s="19">
        <f t="array" ref="F714">IF(ROW()&lt;25,"",INDEX('Solar Power Plant Data'!H:H,ROW()-1))</f>
        <v>816666</v>
      </c>
      <c r="G714" s="19">
        <f>IF(ROW()&lt;25,"",AVERAGE(OFFSET('Solar Power Plant Data'!H736,-23,0,24,1)))
</f>
        <v>593888.7917</v>
      </c>
      <c r="H714" s="21">
        <f>'Solar Power Plant Data'!H713/MAX('Solar Power Plant Data'!E713,0.0001)
</f>
        <v>8166660000</v>
      </c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</row>
    <row r="715">
      <c r="A715" s="21">
        <f>HOUR('Solar Power Plant Data'!A714)</f>
        <v>2</v>
      </c>
      <c r="B715" s="21">
        <f>DAY('Solar Power Plant Data'!A714)</f>
        <v>11</v>
      </c>
      <c r="C715" s="21">
        <f>MONTH('Solar Power Plant Data'!A714)</f>
        <v>3</v>
      </c>
      <c r="D715" s="21" t="str">
        <f>TEXT('Solar Power Plant Data'!A714,"ddd")</f>
        <v>Sun</v>
      </c>
      <c r="E715" s="21">
        <f t="shared" si="1"/>
        <v>1</v>
      </c>
      <c r="F715" s="19">
        <f t="array" ref="F715">IF(ROW()&lt;25,"",INDEX('Solar Power Plant Data'!H:H,ROW()-1))</f>
        <v>111667</v>
      </c>
      <c r="G715" s="19">
        <f>IF(ROW()&lt;25,"",AVERAGE(OFFSET('Solar Power Plant Data'!H737,-23,0,24,1)))
</f>
        <v>676388.7917</v>
      </c>
      <c r="H715" s="21">
        <f>'Solar Power Plant Data'!H714/MAX('Solar Power Plant Data'!E714,0.0001)
</f>
        <v>18611.16667</v>
      </c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</row>
    <row r="716">
      <c r="A716" s="21">
        <f>HOUR('Solar Power Plant Data'!A715)</f>
        <v>2</v>
      </c>
      <c r="B716" s="21">
        <f>DAY('Solar Power Plant Data'!A715)</f>
        <v>12</v>
      </c>
      <c r="C716" s="21">
        <f>MONTH('Solar Power Plant Data'!A715)</f>
        <v>3</v>
      </c>
      <c r="D716" s="21" t="str">
        <f>TEXT('Solar Power Plant Data'!A715,"ddd")</f>
        <v>Mon</v>
      </c>
      <c r="E716" s="21">
        <f t="shared" si="1"/>
        <v>0</v>
      </c>
      <c r="F716" s="19">
        <f t="array" ref="F716">IF(ROW()&lt;25,"",INDEX('Solar Power Plant Data'!H:H,ROW()-1))</f>
        <v>0</v>
      </c>
      <c r="G716" s="19">
        <f>IF(ROW()&lt;25,"",AVERAGE(OFFSET('Solar Power Plant Data'!H738,-23,0,24,1)))
</f>
        <v>695763.75</v>
      </c>
      <c r="H716" s="21">
        <f>'Solar Power Plant Data'!H715/MAX('Solar Power Plant Data'!E715,0.0001)
</f>
        <v>0</v>
      </c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</row>
    <row r="717">
      <c r="A717" s="21">
        <f>HOUR('Solar Power Plant Data'!A716)</f>
        <v>2</v>
      </c>
      <c r="B717" s="21">
        <f>DAY('Solar Power Plant Data'!A716)</f>
        <v>13</v>
      </c>
      <c r="C717" s="21">
        <f>MONTH('Solar Power Plant Data'!A716)</f>
        <v>3</v>
      </c>
      <c r="D717" s="21" t="str">
        <f>TEXT('Solar Power Plant Data'!A716,"ddd")</f>
        <v>Tue</v>
      </c>
      <c r="E717" s="21">
        <f t="shared" si="1"/>
        <v>0</v>
      </c>
      <c r="F717" s="19">
        <f t="array" ref="F717">IF(ROW()&lt;25,"",INDEX('Solar Power Plant Data'!H:H,ROW()-1))</f>
        <v>0</v>
      </c>
      <c r="G717" s="19">
        <f>IF(ROW()&lt;25,"",AVERAGE(OFFSET('Solar Power Plant Data'!H739,-23,0,24,1)))
</f>
        <v>695763.75</v>
      </c>
      <c r="H717" s="21">
        <f>'Solar Power Plant Data'!H716/MAX('Solar Power Plant Data'!E716,0.0001)
</f>
        <v>0</v>
      </c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</row>
    <row r="718">
      <c r="A718" s="21">
        <f>HOUR('Solar Power Plant Data'!A717)</f>
        <v>2</v>
      </c>
      <c r="B718" s="21">
        <f>DAY('Solar Power Plant Data'!A717)</f>
        <v>14</v>
      </c>
      <c r="C718" s="21">
        <f>MONTH('Solar Power Plant Data'!A717)</f>
        <v>3</v>
      </c>
      <c r="D718" s="21" t="str">
        <f>TEXT('Solar Power Plant Data'!A717,"ddd")</f>
        <v>Wed</v>
      </c>
      <c r="E718" s="21">
        <f t="shared" si="1"/>
        <v>0</v>
      </c>
      <c r="F718" s="19">
        <f t="array" ref="F718">IF(ROW()&lt;25,"",INDEX('Solar Power Plant Data'!H:H,ROW()-1))</f>
        <v>0</v>
      </c>
      <c r="G718" s="19">
        <f>IF(ROW()&lt;25,"",AVERAGE(OFFSET('Solar Power Plant Data'!H740,-23,0,24,1)))
</f>
        <v>695763.75</v>
      </c>
      <c r="H718" s="21">
        <f>'Solar Power Plant Data'!H717/MAX('Solar Power Plant Data'!E717,0.0001)
</f>
        <v>0</v>
      </c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</row>
    <row r="719">
      <c r="A719" s="21">
        <f>HOUR('Solar Power Plant Data'!A718)</f>
        <v>2</v>
      </c>
      <c r="B719" s="21">
        <f>DAY('Solar Power Plant Data'!A718)</f>
        <v>15</v>
      </c>
      <c r="C719" s="21">
        <f>MONTH('Solar Power Plant Data'!A718)</f>
        <v>3</v>
      </c>
      <c r="D719" s="21" t="str">
        <f>TEXT('Solar Power Plant Data'!A718,"ddd")</f>
        <v>Thu</v>
      </c>
      <c r="E719" s="21">
        <f t="shared" si="1"/>
        <v>0</v>
      </c>
      <c r="F719" s="19">
        <f t="array" ref="F719">IF(ROW()&lt;25,"",INDEX('Solar Power Plant Data'!H:H,ROW()-1))</f>
        <v>0</v>
      </c>
      <c r="G719" s="19">
        <f>IF(ROW()&lt;25,"",AVERAGE(OFFSET('Solar Power Plant Data'!H741,-23,0,24,1)))
</f>
        <v>695763.75</v>
      </c>
      <c r="H719" s="21">
        <f>'Solar Power Plant Data'!H718/MAX('Solar Power Plant Data'!E718,0.0001)
</f>
        <v>0</v>
      </c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</row>
    <row r="720">
      <c r="A720" s="21">
        <f>HOUR('Solar Power Plant Data'!A719)</f>
        <v>2</v>
      </c>
      <c r="B720" s="21">
        <f>DAY('Solar Power Plant Data'!A719)</f>
        <v>16</v>
      </c>
      <c r="C720" s="21">
        <f>MONTH('Solar Power Plant Data'!A719)</f>
        <v>3</v>
      </c>
      <c r="D720" s="21" t="str">
        <f>TEXT('Solar Power Plant Data'!A719,"ddd")</f>
        <v>Fri</v>
      </c>
      <c r="E720" s="21">
        <f t="shared" si="1"/>
        <v>0</v>
      </c>
      <c r="F720" s="19">
        <f t="array" ref="F720">IF(ROW()&lt;25,"",INDEX('Solar Power Plant Data'!H:H,ROW()-1))</f>
        <v>0</v>
      </c>
      <c r="G720" s="19">
        <f>IF(ROW()&lt;25,"",AVERAGE(OFFSET('Solar Power Plant Data'!H742,-23,0,24,1)))
</f>
        <v>695763.75</v>
      </c>
      <c r="H720" s="21">
        <f>'Solar Power Plant Data'!H719/MAX('Solar Power Plant Data'!E719,0.0001)
</f>
        <v>0</v>
      </c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</row>
    <row r="721">
      <c r="A721" s="21">
        <f>HOUR('Solar Power Plant Data'!A720)</f>
        <v>2</v>
      </c>
      <c r="B721" s="21">
        <f>DAY('Solar Power Plant Data'!A720)</f>
        <v>17</v>
      </c>
      <c r="C721" s="21">
        <f>MONTH('Solar Power Plant Data'!A720)</f>
        <v>3</v>
      </c>
      <c r="D721" s="21" t="str">
        <f>TEXT('Solar Power Plant Data'!A720,"ddd")</f>
        <v>Sat</v>
      </c>
      <c r="E721" s="21">
        <f t="shared" si="1"/>
        <v>1</v>
      </c>
      <c r="F721" s="19">
        <f t="array" ref="F721">IF(ROW()&lt;25,"",INDEX('Solar Power Plant Data'!H:H,ROW()-1))</f>
        <v>0</v>
      </c>
      <c r="G721" s="19">
        <f>IF(ROW()&lt;25,"",AVERAGE(OFFSET('Solar Power Plant Data'!H743,-23,0,24,1)))
</f>
        <v>695763.75</v>
      </c>
      <c r="H721" s="21">
        <f>'Solar Power Plant Data'!H720/MAX('Solar Power Plant Data'!E720,0.0001)
</f>
        <v>0</v>
      </c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</row>
    <row r="722">
      <c r="A722" s="21">
        <f>HOUR('Solar Power Plant Data'!A721)</f>
        <v>2</v>
      </c>
      <c r="B722" s="21">
        <f>DAY('Solar Power Plant Data'!A721)</f>
        <v>18</v>
      </c>
      <c r="C722" s="21">
        <f>MONTH('Solar Power Plant Data'!A721)</f>
        <v>3</v>
      </c>
      <c r="D722" s="21" t="str">
        <f>TEXT('Solar Power Plant Data'!A721,"ddd")</f>
        <v>Sun</v>
      </c>
      <c r="E722" s="21">
        <f t="shared" si="1"/>
        <v>1</v>
      </c>
      <c r="F722" s="19">
        <f t="array" ref="F722">IF(ROW()&lt;25,"",INDEX('Solar Power Plant Data'!H:H,ROW()-1))</f>
        <v>0</v>
      </c>
      <c r="G722" s="19">
        <f>IF(ROW()&lt;25,"",AVERAGE(OFFSET('Solar Power Plant Data'!H744,-23,0,24,1)))
</f>
        <v>695763.75</v>
      </c>
      <c r="H722" s="21">
        <f>'Solar Power Plant Data'!H721/MAX('Solar Power Plant Data'!E721,0.0001)
</f>
        <v>0</v>
      </c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</row>
    <row r="723">
      <c r="A723" s="21">
        <f>HOUR('Solar Power Plant Data'!A722)</f>
        <v>2</v>
      </c>
      <c r="B723" s="21">
        <f>DAY('Solar Power Plant Data'!A722)</f>
        <v>19</v>
      </c>
      <c r="C723" s="21">
        <f>MONTH('Solar Power Plant Data'!A722)</f>
        <v>3</v>
      </c>
      <c r="D723" s="21" t="str">
        <f>TEXT('Solar Power Plant Data'!A722,"ddd")</f>
        <v>Mon</v>
      </c>
      <c r="E723" s="21">
        <f t="shared" si="1"/>
        <v>0</v>
      </c>
      <c r="F723" s="19">
        <f t="array" ref="F723">IF(ROW()&lt;25,"",INDEX('Solar Power Plant Data'!H:H,ROW()-1))</f>
        <v>0</v>
      </c>
      <c r="G723" s="19">
        <f>IF(ROW()&lt;25,"",AVERAGE(OFFSET('Solar Power Plant Data'!H745,-23,0,24,1)))
</f>
        <v>695763.75</v>
      </c>
      <c r="H723" s="21">
        <f>'Solar Power Plant Data'!H722/MAX('Solar Power Plant Data'!E722,0.0001)
</f>
        <v>0</v>
      </c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</row>
    <row r="724">
      <c r="A724" s="21">
        <f>HOUR('Solar Power Plant Data'!A723)</f>
        <v>2</v>
      </c>
      <c r="B724" s="21">
        <f>DAY('Solar Power Plant Data'!A723)</f>
        <v>20</v>
      </c>
      <c r="C724" s="21">
        <f>MONTH('Solar Power Plant Data'!A723)</f>
        <v>3</v>
      </c>
      <c r="D724" s="21" t="str">
        <f>TEXT('Solar Power Plant Data'!A723,"ddd")</f>
        <v>Tue</v>
      </c>
      <c r="E724" s="21">
        <f t="shared" si="1"/>
        <v>0</v>
      </c>
      <c r="F724" s="19">
        <f t="array" ref="F724">IF(ROW()&lt;25,"",INDEX('Solar Power Plant Data'!H:H,ROW()-1))</f>
        <v>0</v>
      </c>
      <c r="G724" s="19">
        <f>IF(ROW()&lt;25,"",AVERAGE(OFFSET('Solar Power Plant Data'!H746,-23,0,24,1)))
</f>
        <v>726014.3478</v>
      </c>
      <c r="H724" s="21">
        <f>'Solar Power Plant Data'!H723/MAX('Solar Power Plant Data'!E723,0.0001)
</f>
        <v>0</v>
      </c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</row>
    <row r="725">
      <c r="A725" s="21">
        <f>HOUR('Solar Power Plant Data'!A724)</f>
        <v>2</v>
      </c>
      <c r="B725" s="21">
        <f>DAY('Solar Power Plant Data'!A724)</f>
        <v>21</v>
      </c>
      <c r="C725" s="21">
        <f>MONTH('Solar Power Plant Data'!A724)</f>
        <v>3</v>
      </c>
      <c r="D725" s="21" t="str">
        <f>TEXT('Solar Power Plant Data'!A724,"ddd")</f>
        <v>Wed</v>
      </c>
      <c r="E725" s="21">
        <f t="shared" si="1"/>
        <v>0</v>
      </c>
      <c r="F725" s="19">
        <f t="array" ref="F725">IF(ROW()&lt;25,"",INDEX('Solar Power Plant Data'!H:H,ROW()-1))</f>
        <v>0</v>
      </c>
      <c r="G725" s="19">
        <f>IF(ROW()&lt;25,"",AVERAGE(OFFSET('Solar Power Plant Data'!H747,-23,0,24,1)))
</f>
        <v>759015</v>
      </c>
      <c r="H725" s="21">
        <f>'Solar Power Plant Data'!H724/MAX('Solar Power Plant Data'!E724,0.0001)
</f>
        <v>0</v>
      </c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</row>
    <row r="726">
      <c r="A726" s="21">
        <f>HOUR('Solar Power Plant Data'!A725)</f>
        <v>2</v>
      </c>
      <c r="B726" s="21">
        <f>DAY('Solar Power Plant Data'!A725)</f>
        <v>22</v>
      </c>
      <c r="C726" s="21">
        <f>MONTH('Solar Power Plant Data'!A725)</f>
        <v>3</v>
      </c>
      <c r="D726" s="21" t="str">
        <f>TEXT('Solar Power Plant Data'!A725,"ddd")</f>
        <v>Thu</v>
      </c>
      <c r="E726" s="21">
        <f t="shared" si="1"/>
        <v>0</v>
      </c>
      <c r="F726" s="19">
        <f t="array" ref="F726">IF(ROW()&lt;25,"",INDEX('Solar Power Plant Data'!H:H,ROW()-1))</f>
        <v>0</v>
      </c>
      <c r="G726" s="19">
        <f>IF(ROW()&lt;25,"",AVERAGE(OFFSET('Solar Power Plant Data'!H748,-23,0,24,1)))
</f>
        <v>795158.5714</v>
      </c>
      <c r="H726" s="21">
        <f>'Solar Power Plant Data'!H725/MAX('Solar Power Plant Data'!E725,0.0001)
</f>
        <v>0</v>
      </c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</row>
    <row r="727">
      <c r="A727" s="21">
        <f>HOUR('Solar Power Plant Data'!A726)</f>
        <v>2</v>
      </c>
      <c r="B727" s="21">
        <f>DAY('Solar Power Plant Data'!A726)</f>
        <v>23</v>
      </c>
      <c r="C727" s="21">
        <f>MONTH('Solar Power Plant Data'!A726)</f>
        <v>3</v>
      </c>
      <c r="D727" s="21" t="str">
        <f>TEXT('Solar Power Plant Data'!A726,"ddd")</f>
        <v>Fri</v>
      </c>
      <c r="E727" s="21">
        <f t="shared" si="1"/>
        <v>0</v>
      </c>
      <c r="F727" s="19">
        <f t="array" ref="F727">IF(ROW()&lt;25,"",INDEX('Solar Power Plant Data'!H:H,ROW()-1))</f>
        <v>0</v>
      </c>
      <c r="G727" s="19">
        <f>IF(ROW()&lt;25,"",AVERAGE(OFFSET('Solar Power Plant Data'!H749,-23,0,24,1)))
</f>
        <v>834916.5</v>
      </c>
      <c r="H727" s="21">
        <f>'Solar Power Plant Data'!H726/MAX('Solar Power Plant Data'!E726,0.0001)
</f>
        <v>0</v>
      </c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</row>
    <row r="728">
      <c r="A728" s="21">
        <f>HOUR('Solar Power Plant Data'!A727)</f>
        <v>2</v>
      </c>
      <c r="B728" s="21">
        <f>DAY('Solar Power Plant Data'!A727)</f>
        <v>24</v>
      </c>
      <c r="C728" s="21">
        <f>MONTH('Solar Power Plant Data'!A727)</f>
        <v>3</v>
      </c>
      <c r="D728" s="21" t="str">
        <f>TEXT('Solar Power Plant Data'!A727,"ddd")</f>
        <v>Sat</v>
      </c>
      <c r="E728" s="21">
        <f t="shared" si="1"/>
        <v>1</v>
      </c>
      <c r="F728" s="19">
        <f t="array" ref="F728">IF(ROW()&lt;25,"",INDEX('Solar Power Plant Data'!H:H,ROW()-1))</f>
        <v>0</v>
      </c>
      <c r="G728" s="19">
        <f>IF(ROW()&lt;25,"",AVERAGE(OFFSET('Solar Power Plant Data'!H750,-23,0,24,1)))
</f>
        <v>878859.4737</v>
      </c>
      <c r="H728" s="21">
        <f>'Solar Power Plant Data'!H727/MAX('Solar Power Plant Data'!E727,0.0001)
</f>
        <v>0</v>
      </c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</row>
    <row r="729">
      <c r="A729" s="21">
        <f>HOUR('Solar Power Plant Data'!A728)</f>
        <v>2</v>
      </c>
      <c r="B729" s="21">
        <f>DAY('Solar Power Plant Data'!A728)</f>
        <v>25</v>
      </c>
      <c r="C729" s="21">
        <f>MONTH('Solar Power Plant Data'!A728)</f>
        <v>3</v>
      </c>
      <c r="D729" s="21" t="str">
        <f>TEXT('Solar Power Plant Data'!A728,"ddd")</f>
        <v>Sun</v>
      </c>
      <c r="E729" s="21">
        <f t="shared" si="1"/>
        <v>1</v>
      </c>
      <c r="F729" s="19">
        <f t="array" ref="F729">IF(ROW()&lt;25,"",INDEX('Solar Power Plant Data'!H:H,ROW()-1))</f>
        <v>0</v>
      </c>
      <c r="G729" s="19">
        <f>IF(ROW()&lt;25,"",AVERAGE(OFFSET('Solar Power Plant Data'!H751,-23,0,24,1)))
</f>
        <v>927685</v>
      </c>
      <c r="H729" s="21">
        <f>'Solar Power Plant Data'!H728/MAX('Solar Power Plant Data'!E728,0.0001)
</f>
        <v>0</v>
      </c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</row>
    <row r="730">
      <c r="A730" s="21">
        <f>HOUR('Solar Power Plant Data'!A729)</f>
        <v>2</v>
      </c>
      <c r="B730" s="21">
        <f>DAY('Solar Power Plant Data'!A729)</f>
        <v>26</v>
      </c>
      <c r="C730" s="21">
        <f>MONTH('Solar Power Plant Data'!A729)</f>
        <v>3</v>
      </c>
      <c r="D730" s="21" t="str">
        <f>TEXT('Solar Power Plant Data'!A729,"ddd")</f>
        <v>Mon</v>
      </c>
      <c r="E730" s="21">
        <f t="shared" si="1"/>
        <v>0</v>
      </c>
      <c r="F730" s="19">
        <f t="array" ref="F730">IF(ROW()&lt;25,"",INDEX('Solar Power Plant Data'!H:H,ROW()-1))</f>
        <v>0</v>
      </c>
      <c r="G730" s="19">
        <f>IF(ROW()&lt;25,"",AVERAGE(OFFSET('Solar Power Plant Data'!H752,-23,0,24,1)))
</f>
        <v>982254.7059</v>
      </c>
      <c r="H730" s="21">
        <f>'Solar Power Plant Data'!H729/MAX('Solar Power Plant Data'!E729,0.0001)
</f>
        <v>0</v>
      </c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</row>
    <row r="731">
      <c r="A731" s="21">
        <f>HOUR('Solar Power Plant Data'!A730)</f>
        <v>2</v>
      </c>
      <c r="B731" s="21">
        <f>DAY('Solar Power Plant Data'!A730)</f>
        <v>27</v>
      </c>
      <c r="C731" s="21">
        <f>MONTH('Solar Power Plant Data'!A730)</f>
        <v>3</v>
      </c>
      <c r="D731" s="21" t="str">
        <f>TEXT('Solar Power Plant Data'!A730,"ddd")</f>
        <v>Tue</v>
      </c>
      <c r="E731" s="21">
        <f t="shared" si="1"/>
        <v>0</v>
      </c>
      <c r="F731" s="19">
        <f t="array" ref="F731">IF(ROW()&lt;25,"",INDEX('Solar Power Plant Data'!H:H,ROW()-1))</f>
        <v>0</v>
      </c>
      <c r="G731" s="19">
        <f>IF(ROW()&lt;25,"",AVERAGE(OFFSET('Solar Power Plant Data'!H753,-23,0,24,1)))
</f>
        <v>1043645.625</v>
      </c>
      <c r="H731" s="21">
        <f>'Solar Power Plant Data'!H730/MAX('Solar Power Plant Data'!E730,0.0001)
</f>
        <v>0</v>
      </c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</row>
    <row r="732">
      <c r="A732" s="21">
        <f>HOUR('Solar Power Plant Data'!A731)</f>
        <v>2</v>
      </c>
      <c r="B732" s="21">
        <f>DAY('Solar Power Plant Data'!A731)</f>
        <v>28</v>
      </c>
      <c r="C732" s="21">
        <f>MONTH('Solar Power Plant Data'!A731)</f>
        <v>3</v>
      </c>
      <c r="D732" s="21" t="str">
        <f>TEXT('Solar Power Plant Data'!A731,"ddd")</f>
        <v>Wed</v>
      </c>
      <c r="E732" s="21">
        <f t="shared" si="1"/>
        <v>0</v>
      </c>
      <c r="F732" s="19">
        <f t="array" ref="F732">IF(ROW()&lt;25,"",INDEX('Solar Power Plant Data'!H:H,ROW()-1))</f>
        <v>0</v>
      </c>
      <c r="G732" s="19">
        <f>IF(ROW()&lt;25,"",AVERAGE(OFFSET('Solar Power Plant Data'!H754,-23,0,24,1)))
</f>
        <v>1113222</v>
      </c>
      <c r="H732" s="21">
        <f>'Solar Power Plant Data'!H731/MAX('Solar Power Plant Data'!E731,0.0001)
</f>
        <v>0</v>
      </c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</row>
    <row r="733">
      <c r="A733" s="21">
        <f>HOUR('Solar Power Plant Data'!A732)</f>
        <v>2</v>
      </c>
      <c r="B733" s="21">
        <f>DAY('Solar Power Plant Data'!A732)</f>
        <v>29</v>
      </c>
      <c r="C733" s="21">
        <f>MONTH('Solar Power Plant Data'!A732)</f>
        <v>3</v>
      </c>
      <c r="D733" s="21" t="str">
        <f>TEXT('Solar Power Plant Data'!A732,"ddd")</f>
        <v>Thu</v>
      </c>
      <c r="E733" s="21">
        <f t="shared" si="1"/>
        <v>0</v>
      </c>
      <c r="F733" s="19">
        <f t="array" ref="F733">IF(ROW()&lt;25,"",INDEX('Solar Power Plant Data'!H:H,ROW()-1))</f>
        <v>0</v>
      </c>
      <c r="G733" s="19">
        <f>IF(ROW()&lt;25,"",AVERAGE(OFFSET('Solar Power Plant Data'!H755,-23,0,24,1)))
</f>
        <v>1192737.857</v>
      </c>
      <c r="H733" s="21">
        <f>'Solar Power Plant Data'!H732/MAX('Solar Power Plant Data'!E732,0.0001)
</f>
        <v>0</v>
      </c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</row>
    <row r="734">
      <c r="A734" s="21">
        <f>HOUR('Solar Power Plant Data'!A733)</f>
        <v>2</v>
      </c>
      <c r="B734" s="21">
        <f>DAY('Solar Power Plant Data'!A733)</f>
        <v>30</v>
      </c>
      <c r="C734" s="21">
        <f>MONTH('Solar Power Plant Data'!A733)</f>
        <v>3</v>
      </c>
      <c r="D734" s="21" t="str">
        <f>TEXT('Solar Power Plant Data'!A733,"ddd")</f>
        <v>Fri</v>
      </c>
      <c r="E734" s="21">
        <f t="shared" si="1"/>
        <v>0</v>
      </c>
      <c r="F734" s="19">
        <f t="array" ref="F734">IF(ROW()&lt;25,"",INDEX('Solar Power Plant Data'!H:H,ROW()-1))</f>
        <v>463333</v>
      </c>
      <c r="G734" s="19">
        <f>IF(ROW()&lt;25,"",AVERAGE(OFFSET('Solar Power Plant Data'!H756,-23,0,24,1)))
</f>
        <v>1284486.923</v>
      </c>
      <c r="H734" s="21">
        <f>'Solar Power Plant Data'!H733/MAX('Solar Power Plant Data'!E733,0.0001)
</f>
        <v>4633330000</v>
      </c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</row>
    <row r="735">
      <c r="A735" s="21">
        <f>HOUR('Solar Power Plant Data'!A734)</f>
        <v>2</v>
      </c>
      <c r="B735" s="21">
        <f>DAY('Solar Power Plant Data'!A734)</f>
        <v>31</v>
      </c>
      <c r="C735" s="21">
        <f>MONTH('Solar Power Plant Data'!A734)</f>
        <v>3</v>
      </c>
      <c r="D735" s="21" t="str">
        <f>TEXT('Solar Power Plant Data'!A734,"ddd")</f>
        <v>Sat</v>
      </c>
      <c r="E735" s="21">
        <f t="shared" si="1"/>
        <v>1</v>
      </c>
      <c r="F735" s="19">
        <f t="array" ref="F735">IF(ROW()&lt;25,"",INDEX('Solar Power Plant Data'!H:H,ROW()-1))</f>
        <v>3361666</v>
      </c>
      <c r="G735" s="19">
        <f>IF(ROW()&lt;25,"",AVERAGE(OFFSET('Solar Power Plant Data'!H757,-23,0,24,1)))
</f>
        <v>1352916.417</v>
      </c>
      <c r="H735" s="21">
        <f>'Solar Power Plant Data'!H734/MAX('Solar Power Plant Data'!E734,0.0001)
</f>
        <v>33616660000</v>
      </c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</row>
    <row r="736">
      <c r="A736" s="21">
        <f>HOUR('Solar Power Plant Data'!A735)</f>
        <v>2</v>
      </c>
      <c r="B736" s="21">
        <f>DAY('Solar Power Plant Data'!A735)</f>
        <v>1</v>
      </c>
      <c r="C736" s="21">
        <f>MONTH('Solar Power Plant Data'!A735)</f>
        <v>4</v>
      </c>
      <c r="D736" s="21" t="str">
        <f>TEXT('Solar Power Plant Data'!A735,"ddd")</f>
        <v>Sun</v>
      </c>
      <c r="E736" s="21">
        <f t="shared" si="1"/>
        <v>1</v>
      </c>
      <c r="F736" s="19">
        <f t="array" ref="F736">IF(ROW()&lt;25,"",INDEX('Solar Power Plant Data'!H:H,ROW()-1))</f>
        <v>5213332</v>
      </c>
      <c r="G736" s="19">
        <f>IF(ROW()&lt;25,"",AVERAGE(OFFSET('Solar Power Plant Data'!H758,-23,0,24,1)))
</f>
        <v>1170302.818</v>
      </c>
      <c r="H736" s="21">
        <f>'Solar Power Plant Data'!H735/MAX('Solar Power Plant Data'!E735,0.0001)
</f>
        <v>52133320000</v>
      </c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</row>
    <row r="737">
      <c r="A737" s="21">
        <f>HOUR('Solar Power Plant Data'!A736)</f>
        <v>2</v>
      </c>
      <c r="B737" s="21">
        <f>DAY('Solar Power Plant Data'!A736)</f>
        <v>2</v>
      </c>
      <c r="C737" s="21">
        <f>MONTH('Solar Power Plant Data'!A736)</f>
        <v>4</v>
      </c>
      <c r="D737" s="21" t="str">
        <f>TEXT('Solar Power Plant Data'!A736,"ddd")</f>
        <v>Mon</v>
      </c>
      <c r="E737" s="21">
        <f t="shared" si="1"/>
        <v>0</v>
      </c>
      <c r="F737" s="19">
        <f t="array" ref="F737">IF(ROW()&lt;25,"",INDEX('Solar Power Plant Data'!H:H,ROW()-1))</f>
        <v>4286667</v>
      </c>
      <c r="G737" s="19">
        <f>IF(ROW()&lt;25,"",AVERAGE(OFFSET('Solar Power Plant Data'!H759,-23,0,24,1)))
</f>
        <v>765999.9</v>
      </c>
      <c r="H737" s="21">
        <f>'Solar Power Plant Data'!H736/MAX('Solar Power Plant Data'!E736,0.0001)
</f>
        <v>42866670000</v>
      </c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</row>
    <row r="738">
      <c r="A738" s="21">
        <f>HOUR('Solar Power Plant Data'!A737)</f>
        <v>2</v>
      </c>
      <c r="B738" s="21">
        <f>DAY('Solar Power Plant Data'!A737)</f>
        <v>3</v>
      </c>
      <c r="C738" s="21">
        <f>MONTH('Solar Power Plant Data'!A737)</f>
        <v>4</v>
      </c>
      <c r="D738" s="21" t="str">
        <f>TEXT('Solar Power Plant Data'!A737,"ddd")</f>
        <v>Tue</v>
      </c>
      <c r="E738" s="21">
        <f t="shared" si="1"/>
        <v>0</v>
      </c>
      <c r="F738" s="19">
        <f t="array" ref="F738">IF(ROW()&lt;25,"",INDEX('Solar Power Plant Data'!H:H,ROW()-1))</f>
        <v>2796666</v>
      </c>
      <c r="G738" s="19">
        <f>IF(ROW()&lt;25,"",AVERAGE(OFFSET('Solar Power Plant Data'!H760,-23,0,24,1)))
</f>
        <v>374814.6667</v>
      </c>
      <c r="H738" s="21">
        <f>'Solar Power Plant Data'!H737/MAX('Solar Power Plant Data'!E737,0.0001)
</f>
        <v>27966660000</v>
      </c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</row>
    <row r="739">
      <c r="A739" s="21">
        <f>HOUR('Solar Power Plant Data'!A738)</f>
        <v>2</v>
      </c>
      <c r="B739" s="21">
        <f>DAY('Solar Power Plant Data'!A738)</f>
        <v>4</v>
      </c>
      <c r="C739" s="21">
        <f>MONTH('Solar Power Plant Data'!A738)</f>
        <v>4</v>
      </c>
      <c r="D739" s="21" t="str">
        <f>TEXT('Solar Power Plant Data'!A738,"ddd")</f>
        <v>Wed</v>
      </c>
      <c r="E739" s="21">
        <f t="shared" si="1"/>
        <v>0</v>
      </c>
      <c r="F739" s="19">
        <f t="array" ref="F739">IF(ROW()&lt;25,"",INDEX('Solar Power Plant Data'!H:H,ROW()-1))</f>
        <v>576666</v>
      </c>
      <c r="G739" s="19">
        <f>IF(ROW()&lt;25,"",AVERAGE(OFFSET('Solar Power Plant Data'!H761,-23,0,24,1)))
</f>
        <v>72083.25</v>
      </c>
      <c r="H739" s="21">
        <f>'Solar Power Plant Data'!H738/MAX('Solar Power Plant Data'!E738,0.0001)
</f>
        <v>5766660000</v>
      </c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</row>
    <row r="740">
      <c r="A740" s="21">
        <f>HOUR('Solar Power Plant Data'!A739)</f>
        <v>2</v>
      </c>
      <c r="B740" s="21">
        <f>DAY('Solar Power Plant Data'!A739)</f>
        <v>5</v>
      </c>
      <c r="C740" s="21">
        <f>MONTH('Solar Power Plant Data'!A739)</f>
        <v>4</v>
      </c>
      <c r="D740" s="21" t="str">
        <f>TEXT('Solar Power Plant Data'!A739,"ddd")</f>
        <v>Thu</v>
      </c>
      <c r="E740" s="21">
        <f t="shared" si="1"/>
        <v>0</v>
      </c>
      <c r="F740" s="19">
        <f t="array" ref="F740">IF(ROW()&lt;25,"",INDEX('Solar Power Plant Data'!H:H,ROW()-1))</f>
        <v>0</v>
      </c>
      <c r="G740" s="19">
        <f>IF(ROW()&lt;25,"",AVERAGE(OFFSET('Solar Power Plant Data'!H762,-23,0,24,1)))
</f>
        <v>0</v>
      </c>
      <c r="H740" s="21">
        <f>'Solar Power Plant Data'!H739/MAX('Solar Power Plant Data'!E739,0.0001)
</f>
        <v>0</v>
      </c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</row>
    <row r="741">
      <c r="A741" s="21">
        <f>HOUR('Solar Power Plant Data'!A740)</f>
        <v>2</v>
      </c>
      <c r="B741" s="21">
        <f>DAY('Solar Power Plant Data'!A740)</f>
        <v>6</v>
      </c>
      <c r="C741" s="21">
        <f>MONTH('Solar Power Plant Data'!A740)</f>
        <v>4</v>
      </c>
      <c r="D741" s="21" t="str">
        <f>TEXT('Solar Power Plant Data'!A740,"ddd")</f>
        <v>Fri</v>
      </c>
      <c r="E741" s="21">
        <f t="shared" si="1"/>
        <v>0</v>
      </c>
      <c r="F741" s="19">
        <f t="array" ref="F741">IF(ROW()&lt;25,"",INDEX('Solar Power Plant Data'!H:H,ROW()-1))</f>
        <v>0</v>
      </c>
      <c r="G741" s="19">
        <f>IF(ROW()&lt;25,"",AVERAGE(OFFSET('Solar Power Plant Data'!H763,-23,0,24,1)))
</f>
        <v>0</v>
      </c>
      <c r="H741" s="21">
        <f>'Solar Power Plant Data'!H740/MAX('Solar Power Plant Data'!E740,0.0001)
</f>
        <v>0</v>
      </c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</row>
    <row r="742">
      <c r="A742" s="21">
        <f>HOUR('Solar Power Plant Data'!A741)</f>
        <v>2</v>
      </c>
      <c r="B742" s="21">
        <f>DAY('Solar Power Plant Data'!A741)</f>
        <v>7</v>
      </c>
      <c r="C742" s="21">
        <f>MONTH('Solar Power Plant Data'!A741)</f>
        <v>4</v>
      </c>
      <c r="D742" s="21" t="str">
        <f>TEXT('Solar Power Plant Data'!A741,"ddd")</f>
        <v>Sat</v>
      </c>
      <c r="E742" s="21">
        <f t="shared" si="1"/>
        <v>1</v>
      </c>
      <c r="F742" s="19">
        <f t="array" ref="F742">IF(ROW()&lt;25,"",INDEX('Solar Power Plant Data'!H:H,ROW()-1))</f>
        <v>0</v>
      </c>
      <c r="G742" s="19">
        <f>IF(ROW()&lt;25,"",AVERAGE(OFFSET('Solar Power Plant Data'!H764,-23,0,24,1)))
</f>
        <v>0</v>
      </c>
      <c r="H742" s="21">
        <f>'Solar Power Plant Data'!H741/MAX('Solar Power Plant Data'!E741,0.0001)
</f>
        <v>0</v>
      </c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</row>
    <row r="743">
      <c r="A743" s="21">
        <f>HOUR('Solar Power Plant Data'!A742)</f>
        <v>2</v>
      </c>
      <c r="B743" s="21">
        <f>DAY('Solar Power Plant Data'!A742)</f>
        <v>8</v>
      </c>
      <c r="C743" s="21">
        <f>MONTH('Solar Power Plant Data'!A742)</f>
        <v>4</v>
      </c>
      <c r="D743" s="21" t="str">
        <f>TEXT('Solar Power Plant Data'!A742,"ddd")</f>
        <v>Sun</v>
      </c>
      <c r="E743" s="21">
        <f t="shared" si="1"/>
        <v>1</v>
      </c>
      <c r="F743" s="19">
        <f t="array" ref="F743">IF(ROW()&lt;25,"",INDEX('Solar Power Plant Data'!H:H,ROW()-1))</f>
        <v>0</v>
      </c>
      <c r="G743" s="19">
        <f>IF(ROW()&lt;25,"",AVERAGE(OFFSET('Solar Power Plant Data'!H765,-23,0,24,1)))
</f>
        <v>0</v>
      </c>
      <c r="H743" s="21">
        <f>'Solar Power Plant Data'!H742/MAX('Solar Power Plant Data'!E742,0.0001)
</f>
        <v>0</v>
      </c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</row>
    <row r="744">
      <c r="A744" s="21">
        <f>HOUR('Solar Power Plant Data'!A743)</f>
        <v>2</v>
      </c>
      <c r="B744" s="21">
        <f>DAY('Solar Power Plant Data'!A743)</f>
        <v>9</v>
      </c>
      <c r="C744" s="21">
        <f>MONTH('Solar Power Plant Data'!A743)</f>
        <v>4</v>
      </c>
      <c r="D744" s="21" t="str">
        <f>TEXT('Solar Power Plant Data'!A743,"ddd")</f>
        <v>Mon</v>
      </c>
      <c r="E744" s="21">
        <f t="shared" si="1"/>
        <v>0</v>
      </c>
      <c r="F744" s="19">
        <f t="array" ref="F744">IF(ROW()&lt;25,"",INDEX('Solar Power Plant Data'!H:H,ROW()-1))</f>
        <v>0</v>
      </c>
      <c r="G744" s="19">
        <f>IF(ROW()&lt;25,"",AVERAGE(OFFSET('Solar Power Plant Data'!H766,-23,0,24,1)))
</f>
        <v>0</v>
      </c>
      <c r="H744" s="21">
        <f>'Solar Power Plant Data'!H743/MAX('Solar Power Plant Data'!E743,0.0001)
</f>
        <v>0</v>
      </c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</row>
    <row r="745">
      <c r="A745" s="21">
        <f>HOUR('Solar Power Plant Data'!A744)</f>
        <v>2</v>
      </c>
      <c r="B745" s="21">
        <f>DAY('Solar Power Plant Data'!A744)</f>
        <v>10</v>
      </c>
      <c r="C745" s="21">
        <f>MONTH('Solar Power Plant Data'!A744)</f>
        <v>4</v>
      </c>
      <c r="D745" s="21" t="str">
        <f>TEXT('Solar Power Plant Data'!A744,"ddd")</f>
        <v>Tue</v>
      </c>
      <c r="E745" s="21">
        <f t="shared" si="1"/>
        <v>0</v>
      </c>
      <c r="F745" s="19">
        <f t="array" ref="F745">IF(ROW()&lt;25,"",INDEX('Solar Power Plant Data'!H:H,ROW()-1))</f>
        <v>0</v>
      </c>
      <c r="G745" s="19">
        <f>IF(ROW()&lt;25,"",AVERAGE(OFFSET('Solar Power Plant Data'!H767,-23,0,24,1)))
</f>
        <v>0</v>
      </c>
      <c r="H745" s="21">
        <f>'Solar Power Plant Data'!H744/MAX('Solar Power Plant Data'!E744,0.0001)
</f>
        <v>0</v>
      </c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</row>
    <row r="746">
      <c r="A746" s="21">
        <f>HOUR('Solar Power Plant Data'!A745)</f>
        <v>2</v>
      </c>
      <c r="B746" s="21">
        <f>DAY('Solar Power Plant Data'!A745)</f>
        <v>11</v>
      </c>
      <c r="C746" s="21">
        <f>MONTH('Solar Power Plant Data'!A745)</f>
        <v>4</v>
      </c>
      <c r="D746" s="21" t="str">
        <f>TEXT('Solar Power Plant Data'!A745,"ddd")</f>
        <v>Wed</v>
      </c>
      <c r="E746" s="21">
        <f t="shared" si="1"/>
        <v>0</v>
      </c>
      <c r="F746" s="19">
        <f t="array" ref="F746">IF(ROW()&lt;25,"",INDEX('Solar Power Plant Data'!H:H,ROW()-1))</f>
        <v>0</v>
      </c>
      <c r="G746" s="19">
        <f>IF(ROW()&lt;25,"",AVERAGE(OFFSET('Solar Power Plant Data'!H768,-23,0,24,1)))
</f>
        <v>0</v>
      </c>
      <c r="H746" s="21">
        <f>'Solar Power Plant Data'!H745/MAX('Solar Power Plant Data'!E745,0.0001)
</f>
        <v>0</v>
      </c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7.86"/>
    <col customWidth="1" min="3" max="3" width="18.86"/>
    <col customWidth="1" min="4" max="4" width="17.86"/>
  </cols>
  <sheetData>
    <row r="1">
      <c r="A1" s="22" t="s">
        <v>648</v>
      </c>
      <c r="B1" s="22" t="s">
        <v>649</v>
      </c>
      <c r="C1" s="22" t="s">
        <v>650</v>
      </c>
      <c r="D1" s="22" t="s">
        <v>651</v>
      </c>
      <c r="E1" s="22" t="s">
        <v>652</v>
      </c>
      <c r="F1" s="22" t="s">
        <v>653</v>
      </c>
      <c r="H1" s="22"/>
      <c r="I1" s="22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18">
        <f>'Solar Power Plant Data'!A2</f>
        <v>42736</v>
      </c>
      <c r="B2" s="19">
        <f>'Solar Power Plant Data'!H2</f>
        <v>0</v>
      </c>
      <c r="C2" s="21" t="str">
        <f t="shared" ref="C2:C745" si="1">IF(ROW()&lt;25,"",INDEX(B:B,ROW()-24))
</f>
        <v/>
      </c>
      <c r="D2" s="19">
        <f t="shared" ref="D2:D745" si="2">B2-C2
</f>
        <v>0</v>
      </c>
      <c r="E2" s="21">
        <f t="shared" ref="E2:E745" si="3">ABS(D2)
</f>
        <v>0</v>
      </c>
      <c r="F2" s="21">
        <f t="shared" ref="F2:F745" si="4">(D2)^2
</f>
        <v>0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18">
        <f>'Solar Power Plant Data'!A3</f>
        <v>42736.04167</v>
      </c>
      <c r="B3" s="19">
        <f>'Solar Power Plant Data'!H3</f>
        <v>0</v>
      </c>
      <c r="C3" s="21" t="str">
        <f t="shared" si="1"/>
        <v/>
      </c>
      <c r="D3" s="19">
        <f t="shared" si="2"/>
        <v>0</v>
      </c>
      <c r="E3" s="21">
        <f t="shared" si="3"/>
        <v>0</v>
      </c>
      <c r="F3" s="21">
        <f t="shared" si="4"/>
        <v>0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18">
        <f>'Solar Power Plant Data'!A4</f>
        <v>42736.08333</v>
      </c>
      <c r="B4" s="19">
        <f>'Solar Power Plant Data'!H4</f>
        <v>0</v>
      </c>
      <c r="C4" s="21" t="str">
        <f t="shared" si="1"/>
        <v/>
      </c>
      <c r="D4" s="19">
        <f t="shared" si="2"/>
        <v>0</v>
      </c>
      <c r="E4" s="21">
        <f t="shared" si="3"/>
        <v>0</v>
      </c>
      <c r="F4" s="21">
        <f t="shared" si="4"/>
        <v>0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18">
        <f>'Solar Power Plant Data'!A5</f>
        <v>42736.125</v>
      </c>
      <c r="B5" s="19">
        <f>'Solar Power Plant Data'!H5</f>
        <v>0</v>
      </c>
      <c r="C5" s="21" t="str">
        <f t="shared" si="1"/>
        <v/>
      </c>
      <c r="D5" s="19">
        <f t="shared" si="2"/>
        <v>0</v>
      </c>
      <c r="E5" s="21">
        <f t="shared" si="3"/>
        <v>0</v>
      </c>
      <c r="F5" s="21">
        <f t="shared" si="4"/>
        <v>0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18">
        <f>'Solar Power Plant Data'!A6</f>
        <v>42736.16667</v>
      </c>
      <c r="B6" s="19">
        <f>'Solar Power Plant Data'!H6</f>
        <v>0</v>
      </c>
      <c r="C6" s="21" t="str">
        <f t="shared" si="1"/>
        <v/>
      </c>
      <c r="D6" s="19">
        <f t="shared" si="2"/>
        <v>0</v>
      </c>
      <c r="E6" s="21">
        <f t="shared" si="3"/>
        <v>0</v>
      </c>
      <c r="F6" s="21">
        <f t="shared" si="4"/>
        <v>0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18">
        <f>'Solar Power Plant Data'!A7</f>
        <v>42736.20833</v>
      </c>
      <c r="B7" s="19">
        <f>'Solar Power Plant Data'!H7</f>
        <v>0</v>
      </c>
      <c r="C7" s="21" t="str">
        <f t="shared" si="1"/>
        <v/>
      </c>
      <c r="D7" s="19">
        <f t="shared" si="2"/>
        <v>0</v>
      </c>
      <c r="E7" s="21">
        <f t="shared" si="3"/>
        <v>0</v>
      </c>
      <c r="F7" s="21">
        <f t="shared" si="4"/>
        <v>0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18">
        <f>'Solar Power Plant Data'!A8</f>
        <v>42736.25</v>
      </c>
      <c r="B8" s="19">
        <f>'Solar Power Plant Data'!H8</f>
        <v>0</v>
      </c>
      <c r="C8" s="21" t="str">
        <f t="shared" si="1"/>
        <v/>
      </c>
      <c r="D8" s="19">
        <f t="shared" si="2"/>
        <v>0</v>
      </c>
      <c r="E8" s="21">
        <f t="shared" si="3"/>
        <v>0</v>
      </c>
      <c r="F8" s="21">
        <f t="shared" si="4"/>
        <v>0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18">
        <f>'Solar Power Plant Data'!A9</f>
        <v>42736.29167</v>
      </c>
      <c r="B9" s="19">
        <f>'Solar Power Plant Data'!H9</f>
        <v>0</v>
      </c>
      <c r="C9" s="21" t="str">
        <f t="shared" si="1"/>
        <v/>
      </c>
      <c r="D9" s="19">
        <f t="shared" si="2"/>
        <v>0</v>
      </c>
      <c r="E9" s="21">
        <f t="shared" si="3"/>
        <v>0</v>
      </c>
      <c r="F9" s="21">
        <f t="shared" si="4"/>
        <v>0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18">
        <f>'Solar Power Plant Data'!A10</f>
        <v>42736.33333</v>
      </c>
      <c r="B10" s="19">
        <f>'Solar Power Plant Data'!H10</f>
        <v>0</v>
      </c>
      <c r="C10" s="21" t="str">
        <f t="shared" si="1"/>
        <v/>
      </c>
      <c r="D10" s="19">
        <f t="shared" si="2"/>
        <v>0</v>
      </c>
      <c r="E10" s="21">
        <f t="shared" si="3"/>
        <v>0</v>
      </c>
      <c r="F10" s="21">
        <f t="shared" si="4"/>
        <v>0</v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18">
        <f>'Solar Power Plant Data'!A11</f>
        <v>42736.375</v>
      </c>
      <c r="B11" s="19">
        <f>'Solar Power Plant Data'!H11</f>
        <v>0</v>
      </c>
      <c r="C11" s="21" t="str">
        <f t="shared" si="1"/>
        <v/>
      </c>
      <c r="D11" s="19">
        <f t="shared" si="2"/>
        <v>0</v>
      </c>
      <c r="E11" s="21">
        <f t="shared" si="3"/>
        <v>0</v>
      </c>
      <c r="F11" s="21">
        <f t="shared" si="4"/>
        <v>0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18">
        <f>'Solar Power Plant Data'!A12</f>
        <v>42736.41667</v>
      </c>
      <c r="B12" s="19">
        <f>'Solar Power Plant Data'!H12</f>
        <v>0</v>
      </c>
      <c r="C12" s="21" t="str">
        <f t="shared" si="1"/>
        <v/>
      </c>
      <c r="D12" s="19">
        <f t="shared" si="2"/>
        <v>0</v>
      </c>
      <c r="E12" s="21">
        <f t="shared" si="3"/>
        <v>0</v>
      </c>
      <c r="F12" s="21">
        <f t="shared" si="4"/>
        <v>0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8">
        <f>'Solar Power Plant Data'!A13</f>
        <v>42736.45833</v>
      </c>
      <c r="B13" s="19">
        <f>'Solar Power Plant Data'!H13</f>
        <v>2158333</v>
      </c>
      <c r="C13" s="21" t="str">
        <f t="shared" si="1"/>
        <v/>
      </c>
      <c r="D13" s="19">
        <f t="shared" si="2"/>
        <v>2158333</v>
      </c>
      <c r="E13" s="21">
        <f t="shared" si="3"/>
        <v>2158333</v>
      </c>
      <c r="F13" s="21">
        <f t="shared" si="4"/>
        <v>4658401338889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18">
        <f>'Solar Power Plant Data'!A14</f>
        <v>42736.5</v>
      </c>
      <c r="B14" s="19">
        <f>'Solar Power Plant Data'!H14</f>
        <v>8316667</v>
      </c>
      <c r="C14" s="21" t="str">
        <f t="shared" si="1"/>
        <v/>
      </c>
      <c r="D14" s="19">
        <f t="shared" si="2"/>
        <v>8316667</v>
      </c>
      <c r="E14" s="21">
        <f t="shared" si="3"/>
        <v>8316667</v>
      </c>
      <c r="F14" s="21">
        <f t="shared" si="4"/>
        <v>69166949988889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18">
        <f>'Solar Power Plant Data'!A15</f>
        <v>42736.54167</v>
      </c>
      <c r="B15" s="19">
        <f>'Solar Power Plant Data'!H15</f>
        <v>349.5</v>
      </c>
      <c r="C15" s="21" t="str">
        <f t="shared" si="1"/>
        <v/>
      </c>
      <c r="D15" s="19">
        <f t="shared" si="2"/>
        <v>349.5</v>
      </c>
      <c r="E15" s="21">
        <f t="shared" si="3"/>
        <v>349.5</v>
      </c>
      <c r="F15" s="21">
        <f t="shared" si="4"/>
        <v>122150.25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18">
        <f>'Solar Power Plant Data'!A16</f>
        <v>42736.58333</v>
      </c>
      <c r="B16" s="19">
        <f>'Solar Power Plant Data'!H16</f>
        <v>272</v>
      </c>
      <c r="C16" s="21" t="str">
        <f t="shared" si="1"/>
        <v/>
      </c>
      <c r="D16" s="19">
        <f t="shared" si="2"/>
        <v>272</v>
      </c>
      <c r="E16" s="21">
        <f t="shared" si="3"/>
        <v>272</v>
      </c>
      <c r="F16" s="21">
        <f t="shared" si="4"/>
        <v>73984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18">
        <f>'Solar Power Plant Data'!A17</f>
        <v>42736.625</v>
      </c>
      <c r="B17" s="19">
        <f>'Solar Power Plant Data'!H17</f>
        <v>1302083</v>
      </c>
      <c r="C17" s="21" t="str">
        <f t="shared" si="1"/>
        <v/>
      </c>
      <c r="D17" s="19">
        <f t="shared" si="2"/>
        <v>1302083</v>
      </c>
      <c r="E17" s="21">
        <f t="shared" si="3"/>
        <v>1302083</v>
      </c>
      <c r="F17" s="21">
        <f t="shared" si="4"/>
        <v>1695420138889</v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18">
        <f>'Solar Power Plant Data'!A18</f>
        <v>42736.66667</v>
      </c>
      <c r="B18" s="19">
        <f>'Solar Power Plant Data'!H18</f>
        <v>0</v>
      </c>
      <c r="C18" s="21" t="str">
        <f t="shared" si="1"/>
        <v/>
      </c>
      <c r="D18" s="19">
        <f t="shared" si="2"/>
        <v>0</v>
      </c>
      <c r="E18" s="21">
        <f t="shared" si="3"/>
        <v>0</v>
      </c>
      <c r="F18" s="21">
        <f t="shared" si="4"/>
        <v>0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18">
        <f>'Solar Power Plant Data'!A19</f>
        <v>42736.70833</v>
      </c>
      <c r="B19" s="19">
        <f>'Solar Power Plant Data'!H19</f>
        <v>0</v>
      </c>
      <c r="C19" s="21" t="str">
        <f t="shared" si="1"/>
        <v/>
      </c>
      <c r="D19" s="19">
        <f t="shared" si="2"/>
        <v>0</v>
      </c>
      <c r="E19" s="21">
        <f t="shared" si="3"/>
        <v>0</v>
      </c>
      <c r="F19" s="21">
        <f t="shared" si="4"/>
        <v>0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18">
        <f>'Solar Power Plant Data'!A20</f>
        <v>42736.75</v>
      </c>
      <c r="B20" s="19">
        <f>'Solar Power Plant Data'!H20</f>
        <v>0</v>
      </c>
      <c r="C20" s="21" t="str">
        <f t="shared" si="1"/>
        <v/>
      </c>
      <c r="D20" s="19">
        <f t="shared" si="2"/>
        <v>0</v>
      </c>
      <c r="E20" s="21">
        <f t="shared" si="3"/>
        <v>0</v>
      </c>
      <c r="F20" s="21">
        <f t="shared" si="4"/>
        <v>0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18">
        <f>'Solar Power Plant Data'!A21</f>
        <v>42736.79167</v>
      </c>
      <c r="B21" s="19">
        <f>'Solar Power Plant Data'!H21</f>
        <v>0</v>
      </c>
      <c r="C21" s="21" t="str">
        <f t="shared" si="1"/>
        <v/>
      </c>
      <c r="D21" s="19">
        <f t="shared" si="2"/>
        <v>0</v>
      </c>
      <c r="E21" s="21">
        <f t="shared" si="3"/>
        <v>0</v>
      </c>
      <c r="F21" s="21">
        <f t="shared" si="4"/>
        <v>0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18">
        <f>'Solar Power Plant Data'!A22</f>
        <v>42736.83333</v>
      </c>
      <c r="B22" s="19">
        <f>'Solar Power Plant Data'!H22</f>
        <v>0</v>
      </c>
      <c r="C22" s="21" t="str">
        <f t="shared" si="1"/>
        <v/>
      </c>
      <c r="D22" s="19">
        <f t="shared" si="2"/>
        <v>0</v>
      </c>
      <c r="E22" s="21">
        <f t="shared" si="3"/>
        <v>0</v>
      </c>
      <c r="F22" s="21">
        <f t="shared" si="4"/>
        <v>0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18">
        <f>'Solar Power Plant Data'!A23</f>
        <v>42736.875</v>
      </c>
      <c r="B23" s="19">
        <f>'Solar Power Plant Data'!H23</f>
        <v>0</v>
      </c>
      <c r="C23" s="21" t="str">
        <f t="shared" si="1"/>
        <v/>
      </c>
      <c r="D23" s="19">
        <f t="shared" si="2"/>
        <v>0</v>
      </c>
      <c r="E23" s="21">
        <f t="shared" si="3"/>
        <v>0</v>
      </c>
      <c r="F23" s="21">
        <f t="shared" si="4"/>
        <v>0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18">
        <f>'Solar Power Plant Data'!A24</f>
        <v>42736.91667</v>
      </c>
      <c r="B24" s="19">
        <f>'Solar Power Plant Data'!H24</f>
        <v>0</v>
      </c>
      <c r="C24" s="21" t="str">
        <f t="shared" si="1"/>
        <v/>
      </c>
      <c r="D24" s="19">
        <f t="shared" si="2"/>
        <v>0</v>
      </c>
      <c r="E24" s="21">
        <f t="shared" si="3"/>
        <v>0</v>
      </c>
      <c r="F24" s="21">
        <f t="shared" si="4"/>
        <v>0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18">
        <f>'Solar Power Plant Data'!A25</f>
        <v>42736.95833</v>
      </c>
      <c r="B25" s="19">
        <f>'Solar Power Plant Data'!H25</f>
        <v>0</v>
      </c>
      <c r="C25" s="21" t="str">
        <f t="shared" si="1"/>
        <v>Actual_Production</v>
      </c>
      <c r="D25" s="21" t="str">
        <f t="shared" si="2"/>
        <v>#VALUE!</v>
      </c>
      <c r="E25" s="21" t="str">
        <f t="shared" si="3"/>
        <v>#VALUE!</v>
      </c>
      <c r="F25" s="21" t="str">
        <f t="shared" si="4"/>
        <v>#VALUE!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18">
        <f>'Solar Power Plant Data'!A26</f>
        <v>42767</v>
      </c>
      <c r="B26" s="19">
        <f>'Solar Power Plant Data'!H26</f>
        <v>0</v>
      </c>
      <c r="C26" s="19">
        <f t="shared" si="1"/>
        <v>0</v>
      </c>
      <c r="D26" s="19">
        <f t="shared" si="2"/>
        <v>0</v>
      </c>
      <c r="E26" s="21">
        <f t="shared" si="3"/>
        <v>0</v>
      </c>
      <c r="F26" s="21">
        <f t="shared" si="4"/>
        <v>0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18">
        <f>'Solar Power Plant Data'!A27</f>
        <v>42767.04167</v>
      </c>
      <c r="B27" s="19">
        <f>'Solar Power Plant Data'!H27</f>
        <v>0</v>
      </c>
      <c r="C27" s="19">
        <f t="shared" si="1"/>
        <v>0</v>
      </c>
      <c r="D27" s="19">
        <f t="shared" si="2"/>
        <v>0</v>
      </c>
      <c r="E27" s="21">
        <f t="shared" si="3"/>
        <v>0</v>
      </c>
      <c r="F27" s="21">
        <f t="shared" si="4"/>
        <v>0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18">
        <f>'Solar Power Plant Data'!A28</f>
        <v>42767.08333</v>
      </c>
      <c r="B28" s="19">
        <f>'Solar Power Plant Data'!H28</f>
        <v>0</v>
      </c>
      <c r="C28" s="19">
        <f t="shared" si="1"/>
        <v>0</v>
      </c>
      <c r="D28" s="19">
        <f t="shared" si="2"/>
        <v>0</v>
      </c>
      <c r="E28" s="21">
        <f t="shared" si="3"/>
        <v>0</v>
      </c>
      <c r="F28" s="21">
        <f t="shared" si="4"/>
        <v>0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18">
        <f>'Solar Power Plant Data'!A29</f>
        <v>42767.125</v>
      </c>
      <c r="B29" s="19">
        <f>'Solar Power Plant Data'!H29</f>
        <v>0</v>
      </c>
      <c r="C29" s="19">
        <f t="shared" si="1"/>
        <v>0</v>
      </c>
      <c r="D29" s="19">
        <f t="shared" si="2"/>
        <v>0</v>
      </c>
      <c r="E29" s="21">
        <f t="shared" si="3"/>
        <v>0</v>
      </c>
      <c r="F29" s="21">
        <f t="shared" si="4"/>
        <v>0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18">
        <f>'Solar Power Plant Data'!A30</f>
        <v>42767.16667</v>
      </c>
      <c r="B30" s="19">
        <f>'Solar Power Plant Data'!H30</f>
        <v>0</v>
      </c>
      <c r="C30" s="19">
        <f t="shared" si="1"/>
        <v>0</v>
      </c>
      <c r="D30" s="19">
        <f t="shared" si="2"/>
        <v>0</v>
      </c>
      <c r="E30" s="21">
        <f t="shared" si="3"/>
        <v>0</v>
      </c>
      <c r="F30" s="21">
        <f t="shared" si="4"/>
        <v>0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18">
        <f>'Solar Power Plant Data'!A31</f>
        <v>42767.20833</v>
      </c>
      <c r="B31" s="19">
        <f>'Solar Power Plant Data'!H31</f>
        <v>0</v>
      </c>
      <c r="C31" s="19">
        <f t="shared" si="1"/>
        <v>0</v>
      </c>
      <c r="D31" s="19">
        <f t="shared" si="2"/>
        <v>0</v>
      </c>
      <c r="E31" s="21">
        <f t="shared" si="3"/>
        <v>0</v>
      </c>
      <c r="F31" s="21">
        <f t="shared" si="4"/>
        <v>0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18">
        <f>'Solar Power Plant Data'!A32</f>
        <v>42767.25</v>
      </c>
      <c r="B32" s="19">
        <f>'Solar Power Plant Data'!H32</f>
        <v>0</v>
      </c>
      <c r="C32" s="19">
        <f t="shared" si="1"/>
        <v>0</v>
      </c>
      <c r="D32" s="19">
        <f t="shared" si="2"/>
        <v>0</v>
      </c>
      <c r="E32" s="21">
        <f t="shared" si="3"/>
        <v>0</v>
      </c>
      <c r="F32" s="21">
        <f t="shared" si="4"/>
        <v>0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18">
        <f>'Solar Power Plant Data'!A33</f>
        <v>42767.29167</v>
      </c>
      <c r="B33" s="19">
        <f>'Solar Power Plant Data'!H33</f>
        <v>0</v>
      </c>
      <c r="C33" s="19">
        <f t="shared" si="1"/>
        <v>0</v>
      </c>
      <c r="D33" s="19">
        <f t="shared" si="2"/>
        <v>0</v>
      </c>
      <c r="E33" s="21">
        <f t="shared" si="3"/>
        <v>0</v>
      </c>
      <c r="F33" s="21">
        <f t="shared" si="4"/>
        <v>0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18">
        <f>'Solar Power Plant Data'!A34</f>
        <v>42767.33333</v>
      </c>
      <c r="B34" s="19">
        <f>'Solar Power Plant Data'!H34</f>
        <v>0</v>
      </c>
      <c r="C34" s="19">
        <f t="shared" si="1"/>
        <v>0</v>
      </c>
      <c r="D34" s="19">
        <f t="shared" si="2"/>
        <v>0</v>
      </c>
      <c r="E34" s="21">
        <f t="shared" si="3"/>
        <v>0</v>
      </c>
      <c r="F34" s="21">
        <f t="shared" si="4"/>
        <v>0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18">
        <f>'Solar Power Plant Data'!A35</f>
        <v>42767.375</v>
      </c>
      <c r="B35" s="19">
        <f>'Solar Power Plant Data'!H35</f>
        <v>0</v>
      </c>
      <c r="C35" s="19">
        <f t="shared" si="1"/>
        <v>0</v>
      </c>
      <c r="D35" s="19">
        <f t="shared" si="2"/>
        <v>0</v>
      </c>
      <c r="E35" s="21">
        <f t="shared" si="3"/>
        <v>0</v>
      </c>
      <c r="F35" s="21">
        <f t="shared" si="4"/>
        <v>0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18">
        <f>'Solar Power Plant Data'!A36</f>
        <v>42767.41667</v>
      </c>
      <c r="B36" s="19">
        <f>'Solar Power Plant Data'!H36</f>
        <v>0</v>
      </c>
      <c r="C36" s="19">
        <f t="shared" si="1"/>
        <v>0</v>
      </c>
      <c r="D36" s="19">
        <f t="shared" si="2"/>
        <v>0</v>
      </c>
      <c r="E36" s="21">
        <f t="shared" si="3"/>
        <v>0</v>
      </c>
      <c r="F36" s="21">
        <f t="shared" si="4"/>
        <v>0</v>
      </c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18">
        <f>'Solar Power Plant Data'!A37</f>
        <v>42767.45833</v>
      </c>
      <c r="B37" s="19">
        <f>'Solar Power Plant Data'!H37</f>
        <v>2486667</v>
      </c>
      <c r="C37" s="19">
        <f t="shared" si="1"/>
        <v>2158333</v>
      </c>
      <c r="D37" s="19">
        <f t="shared" si="2"/>
        <v>328334</v>
      </c>
      <c r="E37" s="21">
        <f t="shared" si="3"/>
        <v>328334</v>
      </c>
      <c r="F37" s="21">
        <f t="shared" si="4"/>
        <v>107803215556</v>
      </c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18">
        <f>'Solar Power Plant Data'!A38</f>
        <v>42767.5</v>
      </c>
      <c r="B38" s="19">
        <f>'Solar Power Plant Data'!H38</f>
        <v>10873334</v>
      </c>
      <c r="C38" s="19">
        <f t="shared" si="1"/>
        <v>8316667</v>
      </c>
      <c r="D38" s="19">
        <f t="shared" si="2"/>
        <v>2556667</v>
      </c>
      <c r="E38" s="21">
        <f t="shared" si="3"/>
        <v>2556667</v>
      </c>
      <c r="F38" s="21">
        <f t="shared" si="4"/>
        <v>6536546148889</v>
      </c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18">
        <f>'Solar Power Plant Data'!A39</f>
        <v>42767.54167</v>
      </c>
      <c r="B39" s="19">
        <f>'Solar Power Plant Data'!H39</f>
        <v>723</v>
      </c>
      <c r="C39" s="19">
        <f t="shared" si="1"/>
        <v>349.5</v>
      </c>
      <c r="D39" s="19">
        <f t="shared" si="2"/>
        <v>373.5</v>
      </c>
      <c r="E39" s="21">
        <f t="shared" si="3"/>
        <v>373.5</v>
      </c>
      <c r="F39" s="21">
        <f t="shared" si="4"/>
        <v>139502.25</v>
      </c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18">
        <f>'Solar Power Plant Data'!A40</f>
        <v>42767.58333</v>
      </c>
      <c r="B40" s="19">
        <f>'Solar Power Plant Data'!H40</f>
        <v>131</v>
      </c>
      <c r="C40" s="19">
        <f t="shared" si="1"/>
        <v>272</v>
      </c>
      <c r="D40" s="19">
        <f t="shared" si="2"/>
        <v>-141</v>
      </c>
      <c r="E40" s="21">
        <f t="shared" si="3"/>
        <v>141</v>
      </c>
      <c r="F40" s="21">
        <f t="shared" si="4"/>
        <v>19881</v>
      </c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18">
        <f>'Solar Power Plant Data'!A41</f>
        <v>42767.625</v>
      </c>
      <c r="B41" s="19">
        <f>'Solar Power Plant Data'!H41</f>
        <v>51</v>
      </c>
      <c r="C41" s="19">
        <f t="shared" si="1"/>
        <v>1302083</v>
      </c>
      <c r="D41" s="19">
        <f t="shared" si="2"/>
        <v>-1302032</v>
      </c>
      <c r="E41" s="21">
        <f t="shared" si="3"/>
        <v>1302032</v>
      </c>
      <c r="F41" s="21">
        <f t="shared" si="4"/>
        <v>1695287329024</v>
      </c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18">
        <f>'Solar Power Plant Data'!A42</f>
        <v>42767.66667</v>
      </c>
      <c r="B42" s="19">
        <f>'Solar Power Plant Data'!H42</f>
        <v>0</v>
      </c>
      <c r="C42" s="19">
        <f t="shared" si="1"/>
        <v>0</v>
      </c>
      <c r="D42" s="19">
        <f t="shared" si="2"/>
        <v>0</v>
      </c>
      <c r="E42" s="21">
        <f t="shared" si="3"/>
        <v>0</v>
      </c>
      <c r="F42" s="21">
        <f t="shared" si="4"/>
        <v>0</v>
      </c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18">
        <f>'Solar Power Plant Data'!A43</f>
        <v>42767.70833</v>
      </c>
      <c r="B43" s="19">
        <f>'Solar Power Plant Data'!H43</f>
        <v>0</v>
      </c>
      <c r="C43" s="19">
        <f t="shared" si="1"/>
        <v>0</v>
      </c>
      <c r="D43" s="19">
        <f t="shared" si="2"/>
        <v>0</v>
      </c>
      <c r="E43" s="21">
        <f t="shared" si="3"/>
        <v>0</v>
      </c>
      <c r="F43" s="21">
        <f t="shared" si="4"/>
        <v>0</v>
      </c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18">
        <f>'Solar Power Plant Data'!A44</f>
        <v>42767.75</v>
      </c>
      <c r="B44" s="19">
        <f>'Solar Power Plant Data'!H44</f>
        <v>0</v>
      </c>
      <c r="C44" s="19">
        <f t="shared" si="1"/>
        <v>0</v>
      </c>
      <c r="D44" s="19">
        <f t="shared" si="2"/>
        <v>0</v>
      </c>
      <c r="E44" s="21">
        <f t="shared" si="3"/>
        <v>0</v>
      </c>
      <c r="F44" s="21">
        <f t="shared" si="4"/>
        <v>0</v>
      </c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18">
        <f>'Solar Power Plant Data'!A45</f>
        <v>42767.79167</v>
      </c>
      <c r="B45" s="19">
        <f>'Solar Power Plant Data'!H45</f>
        <v>0</v>
      </c>
      <c r="C45" s="19">
        <f t="shared" si="1"/>
        <v>0</v>
      </c>
      <c r="D45" s="19">
        <f t="shared" si="2"/>
        <v>0</v>
      </c>
      <c r="E45" s="21">
        <f t="shared" si="3"/>
        <v>0</v>
      </c>
      <c r="F45" s="21">
        <f t="shared" si="4"/>
        <v>0</v>
      </c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18">
        <f>'Solar Power Plant Data'!A46</f>
        <v>42767.83333</v>
      </c>
      <c r="B46" s="19">
        <f>'Solar Power Plant Data'!H46</f>
        <v>0</v>
      </c>
      <c r="C46" s="19">
        <f t="shared" si="1"/>
        <v>0</v>
      </c>
      <c r="D46" s="19">
        <f t="shared" si="2"/>
        <v>0</v>
      </c>
      <c r="E46" s="21">
        <f t="shared" si="3"/>
        <v>0</v>
      </c>
      <c r="F46" s="21">
        <f t="shared" si="4"/>
        <v>0</v>
      </c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18">
        <f>'Solar Power Plant Data'!A47</f>
        <v>42767.875</v>
      </c>
      <c r="B47" s="19">
        <f>'Solar Power Plant Data'!H47</f>
        <v>0</v>
      </c>
      <c r="C47" s="19">
        <f t="shared" si="1"/>
        <v>0</v>
      </c>
      <c r="D47" s="19">
        <f t="shared" si="2"/>
        <v>0</v>
      </c>
      <c r="E47" s="21">
        <f t="shared" si="3"/>
        <v>0</v>
      </c>
      <c r="F47" s="21">
        <f t="shared" si="4"/>
        <v>0</v>
      </c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18">
        <f>'Solar Power Plant Data'!A48</f>
        <v>42767.91667</v>
      </c>
      <c r="B48" s="19">
        <f>'Solar Power Plant Data'!H48</f>
        <v>0</v>
      </c>
      <c r="C48" s="19">
        <f t="shared" si="1"/>
        <v>0</v>
      </c>
      <c r="D48" s="19">
        <f t="shared" si="2"/>
        <v>0</v>
      </c>
      <c r="E48" s="21">
        <f t="shared" si="3"/>
        <v>0</v>
      </c>
      <c r="F48" s="21">
        <f t="shared" si="4"/>
        <v>0</v>
      </c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18">
        <f>'Solar Power Plant Data'!A49</f>
        <v>42767.95833</v>
      </c>
      <c r="B49" s="19">
        <f>'Solar Power Plant Data'!H49</f>
        <v>0</v>
      </c>
      <c r="C49" s="19">
        <f t="shared" si="1"/>
        <v>0</v>
      </c>
      <c r="D49" s="19">
        <f t="shared" si="2"/>
        <v>0</v>
      </c>
      <c r="E49" s="21">
        <f t="shared" si="3"/>
        <v>0</v>
      </c>
      <c r="F49" s="21">
        <f t="shared" si="4"/>
        <v>0</v>
      </c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18">
        <f>'Solar Power Plant Data'!A50</f>
        <v>42795</v>
      </c>
      <c r="B50" s="19">
        <f>'Solar Power Plant Data'!H50</f>
        <v>0</v>
      </c>
      <c r="C50" s="19">
        <f t="shared" si="1"/>
        <v>0</v>
      </c>
      <c r="D50" s="19">
        <f t="shared" si="2"/>
        <v>0</v>
      </c>
      <c r="E50" s="21">
        <f t="shared" si="3"/>
        <v>0</v>
      </c>
      <c r="F50" s="21">
        <f t="shared" si="4"/>
        <v>0</v>
      </c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18">
        <f>'Solar Power Plant Data'!A51</f>
        <v>42795.04167</v>
      </c>
      <c r="B51" s="19">
        <f>'Solar Power Plant Data'!H51</f>
        <v>0</v>
      </c>
      <c r="C51" s="19">
        <f t="shared" si="1"/>
        <v>0</v>
      </c>
      <c r="D51" s="19">
        <f t="shared" si="2"/>
        <v>0</v>
      </c>
      <c r="E51" s="21">
        <f t="shared" si="3"/>
        <v>0</v>
      </c>
      <c r="F51" s="21">
        <f t="shared" si="4"/>
        <v>0</v>
      </c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18">
        <f>'Solar Power Plant Data'!A52</f>
        <v>42795.08333</v>
      </c>
      <c r="B52" s="19">
        <f>'Solar Power Plant Data'!H52</f>
        <v>0</v>
      </c>
      <c r="C52" s="19">
        <f t="shared" si="1"/>
        <v>0</v>
      </c>
      <c r="D52" s="19">
        <f t="shared" si="2"/>
        <v>0</v>
      </c>
      <c r="E52" s="21">
        <f t="shared" si="3"/>
        <v>0</v>
      </c>
      <c r="F52" s="21">
        <f t="shared" si="4"/>
        <v>0</v>
      </c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18">
        <f>'Solar Power Plant Data'!A53</f>
        <v>42795.125</v>
      </c>
      <c r="B53" s="19">
        <f>'Solar Power Plant Data'!H53</f>
        <v>0</v>
      </c>
      <c r="C53" s="19">
        <f t="shared" si="1"/>
        <v>0</v>
      </c>
      <c r="D53" s="19">
        <f t="shared" si="2"/>
        <v>0</v>
      </c>
      <c r="E53" s="21">
        <f t="shared" si="3"/>
        <v>0</v>
      </c>
      <c r="F53" s="21">
        <f t="shared" si="4"/>
        <v>0</v>
      </c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18">
        <f>'Solar Power Plant Data'!A54</f>
        <v>42795.16667</v>
      </c>
      <c r="B54" s="19">
        <f>'Solar Power Plant Data'!H54</f>
        <v>0</v>
      </c>
      <c r="C54" s="19">
        <f t="shared" si="1"/>
        <v>0</v>
      </c>
      <c r="D54" s="19">
        <f t="shared" si="2"/>
        <v>0</v>
      </c>
      <c r="E54" s="21">
        <f t="shared" si="3"/>
        <v>0</v>
      </c>
      <c r="F54" s="21">
        <f t="shared" si="4"/>
        <v>0</v>
      </c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18">
        <f>'Solar Power Plant Data'!A55</f>
        <v>42795.20833</v>
      </c>
      <c r="B55" s="19">
        <f>'Solar Power Plant Data'!H55</f>
        <v>0</v>
      </c>
      <c r="C55" s="19">
        <f t="shared" si="1"/>
        <v>0</v>
      </c>
      <c r="D55" s="19">
        <f t="shared" si="2"/>
        <v>0</v>
      </c>
      <c r="E55" s="21">
        <f t="shared" si="3"/>
        <v>0</v>
      </c>
      <c r="F55" s="21">
        <f t="shared" si="4"/>
        <v>0</v>
      </c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18">
        <f>'Solar Power Plant Data'!A56</f>
        <v>42795.25</v>
      </c>
      <c r="B56" s="19">
        <f>'Solar Power Plant Data'!H56</f>
        <v>0</v>
      </c>
      <c r="C56" s="19">
        <f t="shared" si="1"/>
        <v>0</v>
      </c>
      <c r="D56" s="19">
        <f t="shared" si="2"/>
        <v>0</v>
      </c>
      <c r="E56" s="21">
        <f t="shared" si="3"/>
        <v>0</v>
      </c>
      <c r="F56" s="21">
        <f t="shared" si="4"/>
        <v>0</v>
      </c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18">
        <f>'Solar Power Plant Data'!A57</f>
        <v>42795.29167</v>
      </c>
      <c r="B57" s="19">
        <f>'Solar Power Plant Data'!H57</f>
        <v>0</v>
      </c>
      <c r="C57" s="19">
        <f t="shared" si="1"/>
        <v>0</v>
      </c>
      <c r="D57" s="19">
        <f t="shared" si="2"/>
        <v>0</v>
      </c>
      <c r="E57" s="21">
        <f t="shared" si="3"/>
        <v>0</v>
      </c>
      <c r="F57" s="21">
        <f t="shared" si="4"/>
        <v>0</v>
      </c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18">
        <f>'Solar Power Plant Data'!A58</f>
        <v>42795.33333</v>
      </c>
      <c r="B58" s="19">
        <f>'Solar Power Plant Data'!H58</f>
        <v>0</v>
      </c>
      <c r="C58" s="19">
        <f t="shared" si="1"/>
        <v>0</v>
      </c>
      <c r="D58" s="19">
        <f t="shared" si="2"/>
        <v>0</v>
      </c>
      <c r="E58" s="21">
        <f t="shared" si="3"/>
        <v>0</v>
      </c>
      <c r="F58" s="21">
        <f t="shared" si="4"/>
        <v>0</v>
      </c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18">
        <f>'Solar Power Plant Data'!A59</f>
        <v>42795.375</v>
      </c>
      <c r="B59" s="19">
        <f>'Solar Power Plant Data'!H59</f>
        <v>0</v>
      </c>
      <c r="C59" s="19">
        <f t="shared" si="1"/>
        <v>0</v>
      </c>
      <c r="D59" s="19">
        <f t="shared" si="2"/>
        <v>0</v>
      </c>
      <c r="E59" s="21">
        <f t="shared" si="3"/>
        <v>0</v>
      </c>
      <c r="F59" s="21">
        <f t="shared" si="4"/>
        <v>0</v>
      </c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18">
        <f>'Solar Power Plant Data'!A60</f>
        <v>42795.41667</v>
      </c>
      <c r="B60" s="19">
        <f>'Solar Power Plant Data'!H60</f>
        <v>0</v>
      </c>
      <c r="C60" s="19">
        <f t="shared" si="1"/>
        <v>0</v>
      </c>
      <c r="D60" s="19">
        <f t="shared" si="2"/>
        <v>0</v>
      </c>
      <c r="E60" s="21">
        <f t="shared" si="3"/>
        <v>0</v>
      </c>
      <c r="F60" s="21">
        <f t="shared" si="4"/>
        <v>0</v>
      </c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18">
        <f>'Solar Power Plant Data'!A61</f>
        <v>42795.45833</v>
      </c>
      <c r="B61" s="19">
        <f>'Solar Power Plant Data'!H61</f>
        <v>0</v>
      </c>
      <c r="C61" s="19">
        <f t="shared" si="1"/>
        <v>2486667</v>
      </c>
      <c r="D61" s="19">
        <f t="shared" si="2"/>
        <v>-2486667</v>
      </c>
      <c r="E61" s="21">
        <f t="shared" si="3"/>
        <v>2486667</v>
      </c>
      <c r="F61" s="21">
        <f t="shared" si="4"/>
        <v>6183512768889</v>
      </c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18">
        <f>'Solar Power Plant Data'!A62</f>
        <v>42795.5</v>
      </c>
      <c r="B62" s="19">
        <f>'Solar Power Plant Data'!H62</f>
        <v>5921666</v>
      </c>
      <c r="C62" s="19">
        <f t="shared" si="1"/>
        <v>10873334</v>
      </c>
      <c r="D62" s="19">
        <f t="shared" si="2"/>
        <v>-4951668</v>
      </c>
      <c r="E62" s="21">
        <f t="shared" si="3"/>
        <v>4951668</v>
      </c>
      <c r="F62" s="21">
        <f t="shared" si="4"/>
        <v>24519015982224</v>
      </c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18">
        <f>'Solar Power Plant Data'!A63</f>
        <v>42795.54167</v>
      </c>
      <c r="B63" s="19">
        <f>'Solar Power Plant Data'!H63</f>
        <v>6388333</v>
      </c>
      <c r="C63" s="19">
        <f t="shared" si="1"/>
        <v>723</v>
      </c>
      <c r="D63" s="19">
        <f t="shared" si="2"/>
        <v>6387610</v>
      </c>
      <c r="E63" s="21">
        <f t="shared" si="3"/>
        <v>6387610</v>
      </c>
      <c r="F63" s="21">
        <f t="shared" si="4"/>
        <v>40801561512100</v>
      </c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18">
        <f>'Solar Power Plant Data'!A64</f>
        <v>42795.58333</v>
      </c>
      <c r="B64" s="19">
        <f>'Solar Power Plant Data'!H64</f>
        <v>2538334</v>
      </c>
      <c r="C64" s="19">
        <f t="shared" si="1"/>
        <v>131</v>
      </c>
      <c r="D64" s="19">
        <f t="shared" si="2"/>
        <v>2538203</v>
      </c>
      <c r="E64" s="21">
        <f t="shared" si="3"/>
        <v>2538203</v>
      </c>
      <c r="F64" s="21">
        <f t="shared" si="4"/>
        <v>6442474469209</v>
      </c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18">
        <f>'Solar Power Plant Data'!A65</f>
        <v>42795.625</v>
      </c>
      <c r="B65" s="19">
        <f>'Solar Power Plant Data'!H65</f>
        <v>333334</v>
      </c>
      <c r="C65" s="19">
        <f t="shared" si="1"/>
        <v>51</v>
      </c>
      <c r="D65" s="19">
        <f t="shared" si="2"/>
        <v>333283</v>
      </c>
      <c r="E65" s="21">
        <f t="shared" si="3"/>
        <v>333283</v>
      </c>
      <c r="F65" s="21">
        <f t="shared" si="4"/>
        <v>111077558089</v>
      </c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18">
        <f>'Solar Power Plant Data'!A66</f>
        <v>42795.66667</v>
      </c>
      <c r="B66" s="19">
        <f>'Solar Power Plant Data'!H66</f>
        <v>0</v>
      </c>
      <c r="C66" s="19">
        <f t="shared" si="1"/>
        <v>0</v>
      </c>
      <c r="D66" s="19">
        <f t="shared" si="2"/>
        <v>0</v>
      </c>
      <c r="E66" s="21">
        <f t="shared" si="3"/>
        <v>0</v>
      </c>
      <c r="F66" s="21">
        <f t="shared" si="4"/>
        <v>0</v>
      </c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18">
        <f>'Solar Power Plant Data'!A67</f>
        <v>42795.70833</v>
      </c>
      <c r="B67" s="19">
        <f>'Solar Power Plant Data'!H67</f>
        <v>0</v>
      </c>
      <c r="C67" s="19">
        <f t="shared" si="1"/>
        <v>0</v>
      </c>
      <c r="D67" s="19">
        <f t="shared" si="2"/>
        <v>0</v>
      </c>
      <c r="E67" s="21">
        <f t="shared" si="3"/>
        <v>0</v>
      </c>
      <c r="F67" s="21">
        <f t="shared" si="4"/>
        <v>0</v>
      </c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18">
        <f>'Solar Power Plant Data'!A68</f>
        <v>42795.75</v>
      </c>
      <c r="B68" s="19">
        <f>'Solar Power Plant Data'!H68</f>
        <v>0</v>
      </c>
      <c r="C68" s="19">
        <f t="shared" si="1"/>
        <v>0</v>
      </c>
      <c r="D68" s="19">
        <f t="shared" si="2"/>
        <v>0</v>
      </c>
      <c r="E68" s="21">
        <f t="shared" si="3"/>
        <v>0</v>
      </c>
      <c r="F68" s="21">
        <f t="shared" si="4"/>
        <v>0</v>
      </c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18">
        <f>'Solar Power Plant Data'!A69</f>
        <v>42795.79167</v>
      </c>
      <c r="B69" s="19">
        <f>'Solar Power Plant Data'!H69</f>
        <v>0</v>
      </c>
      <c r="C69" s="19">
        <f t="shared" si="1"/>
        <v>0</v>
      </c>
      <c r="D69" s="19">
        <f t="shared" si="2"/>
        <v>0</v>
      </c>
      <c r="E69" s="21">
        <f t="shared" si="3"/>
        <v>0</v>
      </c>
      <c r="F69" s="21">
        <f t="shared" si="4"/>
        <v>0</v>
      </c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18">
        <f>'Solar Power Plant Data'!A70</f>
        <v>42795.83333</v>
      </c>
      <c r="B70" s="19">
        <f>'Solar Power Plant Data'!H70</f>
        <v>0</v>
      </c>
      <c r="C70" s="19">
        <f t="shared" si="1"/>
        <v>0</v>
      </c>
      <c r="D70" s="19">
        <f t="shared" si="2"/>
        <v>0</v>
      </c>
      <c r="E70" s="21">
        <f t="shared" si="3"/>
        <v>0</v>
      </c>
      <c r="F70" s="21">
        <f t="shared" si="4"/>
        <v>0</v>
      </c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18">
        <f>'Solar Power Plant Data'!A71</f>
        <v>42795.875</v>
      </c>
      <c r="B71" s="19">
        <f>'Solar Power Plant Data'!H71</f>
        <v>0</v>
      </c>
      <c r="C71" s="19">
        <f t="shared" si="1"/>
        <v>0</v>
      </c>
      <c r="D71" s="19">
        <f t="shared" si="2"/>
        <v>0</v>
      </c>
      <c r="E71" s="21">
        <f t="shared" si="3"/>
        <v>0</v>
      </c>
      <c r="F71" s="21">
        <f t="shared" si="4"/>
        <v>0</v>
      </c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18">
        <f>'Solar Power Plant Data'!A72</f>
        <v>42795.91667</v>
      </c>
      <c r="B72" s="19">
        <f>'Solar Power Plant Data'!H72</f>
        <v>0</v>
      </c>
      <c r="C72" s="19">
        <f t="shared" si="1"/>
        <v>0</v>
      </c>
      <c r="D72" s="19">
        <f t="shared" si="2"/>
        <v>0</v>
      </c>
      <c r="E72" s="21">
        <f t="shared" si="3"/>
        <v>0</v>
      </c>
      <c r="F72" s="21">
        <f t="shared" si="4"/>
        <v>0</v>
      </c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18">
        <f>'Solar Power Plant Data'!A73</f>
        <v>42795.95833</v>
      </c>
      <c r="B73" s="19">
        <f>'Solar Power Plant Data'!H73</f>
        <v>0</v>
      </c>
      <c r="C73" s="19">
        <f t="shared" si="1"/>
        <v>0</v>
      </c>
      <c r="D73" s="19">
        <f t="shared" si="2"/>
        <v>0</v>
      </c>
      <c r="E73" s="21">
        <f t="shared" si="3"/>
        <v>0</v>
      </c>
      <c r="F73" s="21">
        <f t="shared" si="4"/>
        <v>0</v>
      </c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18">
        <f>'Solar Power Plant Data'!A74</f>
        <v>42826</v>
      </c>
      <c r="B74" s="19">
        <f>'Solar Power Plant Data'!H74</f>
        <v>0</v>
      </c>
      <c r="C74" s="19">
        <f t="shared" si="1"/>
        <v>0</v>
      </c>
      <c r="D74" s="19">
        <f t="shared" si="2"/>
        <v>0</v>
      </c>
      <c r="E74" s="21">
        <f t="shared" si="3"/>
        <v>0</v>
      </c>
      <c r="F74" s="21">
        <f t="shared" si="4"/>
        <v>0</v>
      </c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18">
        <f>'Solar Power Plant Data'!A75</f>
        <v>42826.04167</v>
      </c>
      <c r="B75" s="19">
        <f>'Solar Power Plant Data'!H75</f>
        <v>0</v>
      </c>
      <c r="C75" s="19">
        <f t="shared" si="1"/>
        <v>0</v>
      </c>
      <c r="D75" s="19">
        <f t="shared" si="2"/>
        <v>0</v>
      </c>
      <c r="E75" s="21">
        <f t="shared" si="3"/>
        <v>0</v>
      </c>
      <c r="F75" s="21">
        <f t="shared" si="4"/>
        <v>0</v>
      </c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18">
        <f>'Solar Power Plant Data'!A76</f>
        <v>42826.08333</v>
      </c>
      <c r="B76" s="19">
        <f>'Solar Power Plant Data'!H76</f>
        <v>0</v>
      </c>
      <c r="C76" s="19">
        <f t="shared" si="1"/>
        <v>0</v>
      </c>
      <c r="D76" s="19">
        <f t="shared" si="2"/>
        <v>0</v>
      </c>
      <c r="E76" s="21">
        <f t="shared" si="3"/>
        <v>0</v>
      </c>
      <c r="F76" s="21">
        <f t="shared" si="4"/>
        <v>0</v>
      </c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18">
        <f>'Solar Power Plant Data'!A77</f>
        <v>42826.125</v>
      </c>
      <c r="B77" s="19">
        <f>'Solar Power Plant Data'!H77</f>
        <v>0</v>
      </c>
      <c r="C77" s="19">
        <f t="shared" si="1"/>
        <v>0</v>
      </c>
      <c r="D77" s="19">
        <f t="shared" si="2"/>
        <v>0</v>
      </c>
      <c r="E77" s="21">
        <f t="shared" si="3"/>
        <v>0</v>
      </c>
      <c r="F77" s="21">
        <f t="shared" si="4"/>
        <v>0</v>
      </c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18">
        <f>'Solar Power Plant Data'!A78</f>
        <v>42826.16667</v>
      </c>
      <c r="B78" s="19">
        <f>'Solar Power Plant Data'!H78</f>
        <v>0</v>
      </c>
      <c r="C78" s="19">
        <f t="shared" si="1"/>
        <v>0</v>
      </c>
      <c r="D78" s="19">
        <f t="shared" si="2"/>
        <v>0</v>
      </c>
      <c r="E78" s="21">
        <f t="shared" si="3"/>
        <v>0</v>
      </c>
      <c r="F78" s="21">
        <f t="shared" si="4"/>
        <v>0</v>
      </c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18">
        <f>'Solar Power Plant Data'!A79</f>
        <v>42826.20833</v>
      </c>
      <c r="B79" s="19">
        <f>'Solar Power Plant Data'!H79</f>
        <v>0</v>
      </c>
      <c r="C79" s="19">
        <f t="shared" si="1"/>
        <v>0</v>
      </c>
      <c r="D79" s="19">
        <f t="shared" si="2"/>
        <v>0</v>
      </c>
      <c r="E79" s="21">
        <f t="shared" si="3"/>
        <v>0</v>
      </c>
      <c r="F79" s="21">
        <f t="shared" si="4"/>
        <v>0</v>
      </c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18">
        <f>'Solar Power Plant Data'!A80</f>
        <v>42826.25</v>
      </c>
      <c r="B80" s="19">
        <f>'Solar Power Plant Data'!H80</f>
        <v>0</v>
      </c>
      <c r="C80" s="19">
        <f t="shared" si="1"/>
        <v>0</v>
      </c>
      <c r="D80" s="19">
        <f t="shared" si="2"/>
        <v>0</v>
      </c>
      <c r="E80" s="21">
        <f t="shared" si="3"/>
        <v>0</v>
      </c>
      <c r="F80" s="21">
        <f t="shared" si="4"/>
        <v>0</v>
      </c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18">
        <f>'Solar Power Plant Data'!A81</f>
        <v>42826.29167</v>
      </c>
      <c r="B81" s="19">
        <f>'Solar Power Plant Data'!H81</f>
        <v>0</v>
      </c>
      <c r="C81" s="19">
        <f t="shared" si="1"/>
        <v>0</v>
      </c>
      <c r="D81" s="19">
        <f t="shared" si="2"/>
        <v>0</v>
      </c>
      <c r="E81" s="21">
        <f t="shared" si="3"/>
        <v>0</v>
      </c>
      <c r="F81" s="21">
        <f t="shared" si="4"/>
        <v>0</v>
      </c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18">
        <f>'Solar Power Plant Data'!A82</f>
        <v>42826.33333</v>
      </c>
      <c r="B82" s="19">
        <f>'Solar Power Plant Data'!H82</f>
        <v>0</v>
      </c>
      <c r="C82" s="19">
        <f t="shared" si="1"/>
        <v>0</v>
      </c>
      <c r="D82" s="19">
        <f t="shared" si="2"/>
        <v>0</v>
      </c>
      <c r="E82" s="21">
        <f t="shared" si="3"/>
        <v>0</v>
      </c>
      <c r="F82" s="21">
        <f t="shared" si="4"/>
        <v>0</v>
      </c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18">
        <f>'Solar Power Plant Data'!A83</f>
        <v>42826.375</v>
      </c>
      <c r="B83" s="19">
        <f>'Solar Power Plant Data'!H83</f>
        <v>0</v>
      </c>
      <c r="C83" s="19">
        <f t="shared" si="1"/>
        <v>0</v>
      </c>
      <c r="D83" s="19">
        <f t="shared" si="2"/>
        <v>0</v>
      </c>
      <c r="E83" s="21">
        <f t="shared" si="3"/>
        <v>0</v>
      </c>
      <c r="F83" s="21">
        <f t="shared" si="4"/>
        <v>0</v>
      </c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18">
        <f>'Solar Power Plant Data'!A84</f>
        <v>42826.41667</v>
      </c>
      <c r="B84" s="19">
        <f>'Solar Power Plant Data'!H84</f>
        <v>0</v>
      </c>
      <c r="C84" s="19">
        <f t="shared" si="1"/>
        <v>0</v>
      </c>
      <c r="D84" s="19">
        <f t="shared" si="2"/>
        <v>0</v>
      </c>
      <c r="E84" s="21">
        <f t="shared" si="3"/>
        <v>0</v>
      </c>
      <c r="F84" s="21">
        <f t="shared" si="4"/>
        <v>0</v>
      </c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18">
        <f>'Solar Power Plant Data'!A85</f>
        <v>42826.45833</v>
      </c>
      <c r="B85" s="19">
        <f>'Solar Power Plant Data'!H85</f>
        <v>0</v>
      </c>
      <c r="C85" s="19">
        <f t="shared" si="1"/>
        <v>0</v>
      </c>
      <c r="D85" s="19">
        <f t="shared" si="2"/>
        <v>0</v>
      </c>
      <c r="E85" s="21">
        <f t="shared" si="3"/>
        <v>0</v>
      </c>
      <c r="F85" s="21">
        <f t="shared" si="4"/>
        <v>0</v>
      </c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18">
        <f>'Solar Power Plant Data'!A86</f>
        <v>42826.5</v>
      </c>
      <c r="B86" s="19">
        <f>'Solar Power Plant Data'!H86</f>
        <v>1289166</v>
      </c>
      <c r="C86" s="19">
        <f t="shared" si="1"/>
        <v>5921666</v>
      </c>
      <c r="D86" s="19">
        <f t="shared" si="2"/>
        <v>-4632500</v>
      </c>
      <c r="E86" s="21">
        <f t="shared" si="3"/>
        <v>4632500</v>
      </c>
      <c r="F86" s="21">
        <f t="shared" si="4"/>
        <v>21460056250000</v>
      </c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18">
        <f>'Solar Power Plant Data'!A87</f>
        <v>42826.54167</v>
      </c>
      <c r="B87" s="19">
        <f>'Solar Power Plant Data'!H87</f>
        <v>102</v>
      </c>
      <c r="C87" s="19">
        <f t="shared" si="1"/>
        <v>6388333</v>
      </c>
      <c r="D87" s="19">
        <f t="shared" si="2"/>
        <v>-6388231</v>
      </c>
      <c r="E87" s="21">
        <f t="shared" si="3"/>
        <v>6388231</v>
      </c>
      <c r="F87" s="21">
        <f t="shared" si="4"/>
        <v>40809495309361</v>
      </c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18">
        <f>'Solar Power Plant Data'!A88</f>
        <v>42826.58333</v>
      </c>
      <c r="B88" s="19">
        <f>'Solar Power Plant Data'!H88</f>
        <v>18</v>
      </c>
      <c r="C88" s="19">
        <f t="shared" si="1"/>
        <v>2538334</v>
      </c>
      <c r="D88" s="19">
        <f t="shared" si="2"/>
        <v>-2538316</v>
      </c>
      <c r="E88" s="21">
        <f t="shared" si="3"/>
        <v>2538316</v>
      </c>
      <c r="F88" s="21">
        <f t="shared" si="4"/>
        <v>6443048115856</v>
      </c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18">
        <f>'Solar Power Plant Data'!A89</f>
        <v>42826.625</v>
      </c>
      <c r="B89" s="19">
        <f>'Solar Power Plant Data'!H89</f>
        <v>0</v>
      </c>
      <c r="C89" s="19">
        <f t="shared" si="1"/>
        <v>333334</v>
      </c>
      <c r="D89" s="19">
        <f t="shared" si="2"/>
        <v>-333334</v>
      </c>
      <c r="E89" s="21">
        <f t="shared" si="3"/>
        <v>333334</v>
      </c>
      <c r="F89" s="21">
        <f t="shared" si="4"/>
        <v>111111555556</v>
      </c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18">
        <f>'Solar Power Plant Data'!A90</f>
        <v>42826.66667</v>
      </c>
      <c r="B90" s="19">
        <f>'Solar Power Plant Data'!H90</f>
        <v>0</v>
      </c>
      <c r="C90" s="19">
        <f t="shared" si="1"/>
        <v>0</v>
      </c>
      <c r="D90" s="19">
        <f t="shared" si="2"/>
        <v>0</v>
      </c>
      <c r="E90" s="21">
        <f t="shared" si="3"/>
        <v>0</v>
      </c>
      <c r="F90" s="21">
        <f t="shared" si="4"/>
        <v>0</v>
      </c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18">
        <f>'Solar Power Plant Data'!A91</f>
        <v>42826.70833</v>
      </c>
      <c r="B91" s="19">
        <f>'Solar Power Plant Data'!H91</f>
        <v>0</v>
      </c>
      <c r="C91" s="19">
        <f t="shared" si="1"/>
        <v>0</v>
      </c>
      <c r="D91" s="19">
        <f t="shared" si="2"/>
        <v>0</v>
      </c>
      <c r="E91" s="21">
        <f t="shared" si="3"/>
        <v>0</v>
      </c>
      <c r="F91" s="21">
        <f t="shared" si="4"/>
        <v>0</v>
      </c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18">
        <f>'Solar Power Plant Data'!A92</f>
        <v>42826.75</v>
      </c>
      <c r="B92" s="19">
        <f>'Solar Power Plant Data'!H92</f>
        <v>0</v>
      </c>
      <c r="C92" s="19">
        <f t="shared" si="1"/>
        <v>0</v>
      </c>
      <c r="D92" s="19">
        <f t="shared" si="2"/>
        <v>0</v>
      </c>
      <c r="E92" s="21">
        <f t="shared" si="3"/>
        <v>0</v>
      </c>
      <c r="F92" s="21">
        <f t="shared" si="4"/>
        <v>0</v>
      </c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18">
        <f>'Solar Power Plant Data'!A93</f>
        <v>42826.79167</v>
      </c>
      <c r="B93" s="19">
        <f>'Solar Power Plant Data'!H93</f>
        <v>0</v>
      </c>
      <c r="C93" s="19">
        <f t="shared" si="1"/>
        <v>0</v>
      </c>
      <c r="D93" s="19">
        <f t="shared" si="2"/>
        <v>0</v>
      </c>
      <c r="E93" s="21">
        <f t="shared" si="3"/>
        <v>0</v>
      </c>
      <c r="F93" s="21">
        <f t="shared" si="4"/>
        <v>0</v>
      </c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18">
        <f>'Solar Power Plant Data'!A94</f>
        <v>42826.83333</v>
      </c>
      <c r="B94" s="19">
        <f>'Solar Power Plant Data'!H94</f>
        <v>0</v>
      </c>
      <c r="C94" s="19">
        <f t="shared" si="1"/>
        <v>0</v>
      </c>
      <c r="D94" s="19">
        <f t="shared" si="2"/>
        <v>0</v>
      </c>
      <c r="E94" s="21">
        <f t="shared" si="3"/>
        <v>0</v>
      </c>
      <c r="F94" s="21">
        <f t="shared" si="4"/>
        <v>0</v>
      </c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18">
        <f>'Solar Power Plant Data'!A95</f>
        <v>42826.875</v>
      </c>
      <c r="B95" s="19">
        <f>'Solar Power Plant Data'!H95</f>
        <v>0</v>
      </c>
      <c r="C95" s="19">
        <f t="shared" si="1"/>
        <v>0</v>
      </c>
      <c r="D95" s="19">
        <f t="shared" si="2"/>
        <v>0</v>
      </c>
      <c r="E95" s="21">
        <f t="shared" si="3"/>
        <v>0</v>
      </c>
      <c r="F95" s="21">
        <f t="shared" si="4"/>
        <v>0</v>
      </c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18">
        <f>'Solar Power Plant Data'!A96</f>
        <v>42826.91667</v>
      </c>
      <c r="B96" s="19">
        <f>'Solar Power Plant Data'!H96</f>
        <v>0</v>
      </c>
      <c r="C96" s="19">
        <f t="shared" si="1"/>
        <v>0</v>
      </c>
      <c r="D96" s="19">
        <f t="shared" si="2"/>
        <v>0</v>
      </c>
      <c r="E96" s="21">
        <f t="shared" si="3"/>
        <v>0</v>
      </c>
      <c r="F96" s="21">
        <f t="shared" si="4"/>
        <v>0</v>
      </c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18">
        <f>'Solar Power Plant Data'!A97</f>
        <v>42826.95833</v>
      </c>
      <c r="B97" s="19">
        <f>'Solar Power Plant Data'!H97</f>
        <v>0</v>
      </c>
      <c r="C97" s="19">
        <f t="shared" si="1"/>
        <v>0</v>
      </c>
      <c r="D97" s="19">
        <f t="shared" si="2"/>
        <v>0</v>
      </c>
      <c r="E97" s="21">
        <f t="shared" si="3"/>
        <v>0</v>
      </c>
      <c r="F97" s="21">
        <f t="shared" si="4"/>
        <v>0</v>
      </c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18">
        <f>'Solar Power Plant Data'!A98</f>
        <v>42856</v>
      </c>
      <c r="B98" s="19">
        <f>'Solar Power Plant Data'!H98</f>
        <v>0</v>
      </c>
      <c r="C98" s="19">
        <f t="shared" si="1"/>
        <v>0</v>
      </c>
      <c r="D98" s="19">
        <f t="shared" si="2"/>
        <v>0</v>
      </c>
      <c r="E98" s="21">
        <f t="shared" si="3"/>
        <v>0</v>
      </c>
      <c r="F98" s="21">
        <f t="shared" si="4"/>
        <v>0</v>
      </c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18">
        <f>'Solar Power Plant Data'!A99</f>
        <v>42856.04167</v>
      </c>
      <c r="B99" s="19">
        <f>'Solar Power Plant Data'!H99</f>
        <v>0</v>
      </c>
      <c r="C99" s="19">
        <f t="shared" si="1"/>
        <v>0</v>
      </c>
      <c r="D99" s="19">
        <f t="shared" si="2"/>
        <v>0</v>
      </c>
      <c r="E99" s="21">
        <f t="shared" si="3"/>
        <v>0</v>
      </c>
      <c r="F99" s="21">
        <f t="shared" si="4"/>
        <v>0</v>
      </c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18">
        <f>'Solar Power Plant Data'!A100</f>
        <v>42856.08333</v>
      </c>
      <c r="B100" s="19">
        <f>'Solar Power Plant Data'!H100</f>
        <v>0</v>
      </c>
      <c r="C100" s="19">
        <f t="shared" si="1"/>
        <v>0</v>
      </c>
      <c r="D100" s="19">
        <f t="shared" si="2"/>
        <v>0</v>
      </c>
      <c r="E100" s="21">
        <f t="shared" si="3"/>
        <v>0</v>
      </c>
      <c r="F100" s="21">
        <f t="shared" si="4"/>
        <v>0</v>
      </c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18">
        <f>'Solar Power Plant Data'!A101</f>
        <v>42856.125</v>
      </c>
      <c r="B101" s="19">
        <f>'Solar Power Plant Data'!H101</f>
        <v>0</v>
      </c>
      <c r="C101" s="19">
        <f t="shared" si="1"/>
        <v>0</v>
      </c>
      <c r="D101" s="19">
        <f t="shared" si="2"/>
        <v>0</v>
      </c>
      <c r="E101" s="21">
        <f t="shared" si="3"/>
        <v>0</v>
      </c>
      <c r="F101" s="21">
        <f t="shared" si="4"/>
        <v>0</v>
      </c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18">
        <f>'Solar Power Plant Data'!A102</f>
        <v>42856.16667</v>
      </c>
      <c r="B102" s="19">
        <f>'Solar Power Plant Data'!H102</f>
        <v>0</v>
      </c>
      <c r="C102" s="19">
        <f t="shared" si="1"/>
        <v>0</v>
      </c>
      <c r="D102" s="19">
        <f t="shared" si="2"/>
        <v>0</v>
      </c>
      <c r="E102" s="21">
        <f t="shared" si="3"/>
        <v>0</v>
      </c>
      <c r="F102" s="21">
        <f t="shared" si="4"/>
        <v>0</v>
      </c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18">
        <f>'Solar Power Plant Data'!A103</f>
        <v>42856.20833</v>
      </c>
      <c r="B103" s="19">
        <f>'Solar Power Plant Data'!H103</f>
        <v>0</v>
      </c>
      <c r="C103" s="19">
        <f t="shared" si="1"/>
        <v>0</v>
      </c>
      <c r="D103" s="19">
        <f t="shared" si="2"/>
        <v>0</v>
      </c>
      <c r="E103" s="21">
        <f t="shared" si="3"/>
        <v>0</v>
      </c>
      <c r="F103" s="21">
        <f t="shared" si="4"/>
        <v>0</v>
      </c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18">
        <f>'Solar Power Plant Data'!A104</f>
        <v>42856.25</v>
      </c>
      <c r="B104" s="19">
        <f>'Solar Power Plant Data'!H104</f>
        <v>0</v>
      </c>
      <c r="C104" s="19">
        <f t="shared" si="1"/>
        <v>0</v>
      </c>
      <c r="D104" s="19">
        <f t="shared" si="2"/>
        <v>0</v>
      </c>
      <c r="E104" s="21">
        <f t="shared" si="3"/>
        <v>0</v>
      </c>
      <c r="F104" s="21">
        <f t="shared" si="4"/>
        <v>0</v>
      </c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18">
        <f>'Solar Power Plant Data'!A105</f>
        <v>42856.29167</v>
      </c>
      <c r="B105" s="19">
        <f>'Solar Power Plant Data'!H105</f>
        <v>0</v>
      </c>
      <c r="C105" s="19">
        <f t="shared" si="1"/>
        <v>0</v>
      </c>
      <c r="D105" s="19">
        <f t="shared" si="2"/>
        <v>0</v>
      </c>
      <c r="E105" s="21">
        <f t="shared" si="3"/>
        <v>0</v>
      </c>
      <c r="F105" s="21">
        <f t="shared" si="4"/>
        <v>0</v>
      </c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18">
        <f>'Solar Power Plant Data'!A106</f>
        <v>42856.33333</v>
      </c>
      <c r="B106" s="19">
        <f>'Solar Power Plant Data'!H106</f>
        <v>0</v>
      </c>
      <c r="C106" s="19">
        <f t="shared" si="1"/>
        <v>0</v>
      </c>
      <c r="D106" s="19">
        <f t="shared" si="2"/>
        <v>0</v>
      </c>
      <c r="E106" s="21">
        <f t="shared" si="3"/>
        <v>0</v>
      </c>
      <c r="F106" s="21">
        <f t="shared" si="4"/>
        <v>0</v>
      </c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18">
        <f>'Solar Power Plant Data'!A107</f>
        <v>42856.375</v>
      </c>
      <c r="B107" s="19">
        <f>'Solar Power Plant Data'!H107</f>
        <v>0</v>
      </c>
      <c r="C107" s="19">
        <f t="shared" si="1"/>
        <v>0</v>
      </c>
      <c r="D107" s="19">
        <f t="shared" si="2"/>
        <v>0</v>
      </c>
      <c r="E107" s="21">
        <f t="shared" si="3"/>
        <v>0</v>
      </c>
      <c r="F107" s="21">
        <f t="shared" si="4"/>
        <v>0</v>
      </c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18">
        <f>'Solar Power Plant Data'!A108</f>
        <v>42856.41667</v>
      </c>
      <c r="B108" s="19">
        <f>'Solar Power Plant Data'!H108</f>
        <v>0</v>
      </c>
      <c r="C108" s="19">
        <f t="shared" si="1"/>
        <v>0</v>
      </c>
      <c r="D108" s="19">
        <f t="shared" si="2"/>
        <v>0</v>
      </c>
      <c r="E108" s="21">
        <f t="shared" si="3"/>
        <v>0</v>
      </c>
      <c r="F108" s="21">
        <f t="shared" si="4"/>
        <v>0</v>
      </c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18">
        <f>'Solar Power Plant Data'!A109</f>
        <v>42856.45833</v>
      </c>
      <c r="B109" s="19">
        <f>'Solar Power Plant Data'!H109</f>
        <v>0</v>
      </c>
      <c r="C109" s="19">
        <f t="shared" si="1"/>
        <v>0</v>
      </c>
      <c r="D109" s="19">
        <f t="shared" si="2"/>
        <v>0</v>
      </c>
      <c r="E109" s="21">
        <f t="shared" si="3"/>
        <v>0</v>
      </c>
      <c r="F109" s="21">
        <f t="shared" si="4"/>
        <v>0</v>
      </c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18">
        <f>'Solar Power Plant Data'!A110</f>
        <v>42856.5</v>
      </c>
      <c r="B110" s="19">
        <f>'Solar Power Plant Data'!H110</f>
        <v>3531667</v>
      </c>
      <c r="C110" s="19">
        <f t="shared" si="1"/>
        <v>1289166</v>
      </c>
      <c r="D110" s="19">
        <f t="shared" si="2"/>
        <v>2242501</v>
      </c>
      <c r="E110" s="21">
        <f t="shared" si="3"/>
        <v>2242501</v>
      </c>
      <c r="F110" s="21">
        <f t="shared" si="4"/>
        <v>5028810735001</v>
      </c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18">
        <f>'Solar Power Plant Data'!A111</f>
        <v>42856.54167</v>
      </c>
      <c r="B111" s="19">
        <f>'Solar Power Plant Data'!H111</f>
        <v>236</v>
      </c>
      <c r="C111" s="19">
        <f t="shared" si="1"/>
        <v>102</v>
      </c>
      <c r="D111" s="19">
        <f t="shared" si="2"/>
        <v>134</v>
      </c>
      <c r="E111" s="21">
        <f t="shared" si="3"/>
        <v>134</v>
      </c>
      <c r="F111" s="21">
        <f t="shared" si="4"/>
        <v>17956</v>
      </c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18">
        <f>'Solar Power Plant Data'!A112</f>
        <v>42856.58333</v>
      </c>
      <c r="B112" s="19">
        <f>'Solar Power Plant Data'!H112</f>
        <v>0</v>
      </c>
      <c r="C112" s="19">
        <f t="shared" si="1"/>
        <v>18</v>
      </c>
      <c r="D112" s="19">
        <f t="shared" si="2"/>
        <v>-18</v>
      </c>
      <c r="E112" s="21">
        <f t="shared" si="3"/>
        <v>18</v>
      </c>
      <c r="F112" s="21">
        <f t="shared" si="4"/>
        <v>324</v>
      </c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18">
        <f>'Solar Power Plant Data'!A113</f>
        <v>42856.625</v>
      </c>
      <c r="B113" s="19">
        <f>'Solar Power Plant Data'!H113</f>
        <v>0</v>
      </c>
      <c r="C113" s="19">
        <f t="shared" si="1"/>
        <v>0</v>
      </c>
      <c r="D113" s="19">
        <f t="shared" si="2"/>
        <v>0</v>
      </c>
      <c r="E113" s="21">
        <f t="shared" si="3"/>
        <v>0</v>
      </c>
      <c r="F113" s="21">
        <f t="shared" si="4"/>
        <v>0</v>
      </c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18">
        <f>'Solar Power Plant Data'!A114</f>
        <v>42856.66667</v>
      </c>
      <c r="B114" s="19">
        <f>'Solar Power Plant Data'!H114</f>
        <v>0</v>
      </c>
      <c r="C114" s="19">
        <f t="shared" si="1"/>
        <v>0</v>
      </c>
      <c r="D114" s="19">
        <f t="shared" si="2"/>
        <v>0</v>
      </c>
      <c r="E114" s="21">
        <f t="shared" si="3"/>
        <v>0</v>
      </c>
      <c r="F114" s="21">
        <f t="shared" si="4"/>
        <v>0</v>
      </c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18">
        <f>'Solar Power Plant Data'!A115</f>
        <v>42856.70833</v>
      </c>
      <c r="B115" s="19">
        <f>'Solar Power Plant Data'!H115</f>
        <v>0</v>
      </c>
      <c r="C115" s="19">
        <f t="shared" si="1"/>
        <v>0</v>
      </c>
      <c r="D115" s="19">
        <f t="shared" si="2"/>
        <v>0</v>
      </c>
      <c r="E115" s="21">
        <f t="shared" si="3"/>
        <v>0</v>
      </c>
      <c r="F115" s="21">
        <f t="shared" si="4"/>
        <v>0</v>
      </c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18">
        <f>'Solar Power Plant Data'!A116</f>
        <v>42856.75</v>
      </c>
      <c r="B116" s="19">
        <f>'Solar Power Plant Data'!H116</f>
        <v>0</v>
      </c>
      <c r="C116" s="19">
        <f t="shared" si="1"/>
        <v>0</v>
      </c>
      <c r="D116" s="19">
        <f t="shared" si="2"/>
        <v>0</v>
      </c>
      <c r="E116" s="21">
        <f t="shared" si="3"/>
        <v>0</v>
      </c>
      <c r="F116" s="21">
        <f t="shared" si="4"/>
        <v>0</v>
      </c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18">
        <f>'Solar Power Plant Data'!A117</f>
        <v>42856.79167</v>
      </c>
      <c r="B117" s="19">
        <f>'Solar Power Plant Data'!H117</f>
        <v>0</v>
      </c>
      <c r="C117" s="19">
        <f t="shared" si="1"/>
        <v>0</v>
      </c>
      <c r="D117" s="19">
        <f t="shared" si="2"/>
        <v>0</v>
      </c>
      <c r="E117" s="21">
        <f t="shared" si="3"/>
        <v>0</v>
      </c>
      <c r="F117" s="21">
        <f t="shared" si="4"/>
        <v>0</v>
      </c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18">
        <f>'Solar Power Plant Data'!A118</f>
        <v>42856.83333</v>
      </c>
      <c r="B118" s="19">
        <f>'Solar Power Plant Data'!H118</f>
        <v>0</v>
      </c>
      <c r="C118" s="19">
        <f t="shared" si="1"/>
        <v>0</v>
      </c>
      <c r="D118" s="19">
        <f t="shared" si="2"/>
        <v>0</v>
      </c>
      <c r="E118" s="21">
        <f t="shared" si="3"/>
        <v>0</v>
      </c>
      <c r="F118" s="21">
        <f t="shared" si="4"/>
        <v>0</v>
      </c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18">
        <f>'Solar Power Plant Data'!A119</f>
        <v>42856.875</v>
      </c>
      <c r="B119" s="19">
        <f>'Solar Power Plant Data'!H119</f>
        <v>0</v>
      </c>
      <c r="C119" s="19">
        <f t="shared" si="1"/>
        <v>0</v>
      </c>
      <c r="D119" s="19">
        <f t="shared" si="2"/>
        <v>0</v>
      </c>
      <c r="E119" s="21">
        <f t="shared" si="3"/>
        <v>0</v>
      </c>
      <c r="F119" s="21">
        <f t="shared" si="4"/>
        <v>0</v>
      </c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18">
        <f>'Solar Power Plant Data'!A120</f>
        <v>42856.91667</v>
      </c>
      <c r="B120" s="19">
        <f>'Solar Power Plant Data'!H120</f>
        <v>0</v>
      </c>
      <c r="C120" s="19">
        <f t="shared" si="1"/>
        <v>0</v>
      </c>
      <c r="D120" s="19">
        <f t="shared" si="2"/>
        <v>0</v>
      </c>
      <c r="E120" s="21">
        <f t="shared" si="3"/>
        <v>0</v>
      </c>
      <c r="F120" s="21">
        <f t="shared" si="4"/>
        <v>0</v>
      </c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18">
        <f>'Solar Power Plant Data'!A121</f>
        <v>42856.95833</v>
      </c>
      <c r="B121" s="19">
        <f>'Solar Power Plant Data'!H121</f>
        <v>0</v>
      </c>
      <c r="C121" s="19">
        <f t="shared" si="1"/>
        <v>0</v>
      </c>
      <c r="D121" s="19">
        <f t="shared" si="2"/>
        <v>0</v>
      </c>
      <c r="E121" s="21">
        <f t="shared" si="3"/>
        <v>0</v>
      </c>
      <c r="F121" s="21">
        <f t="shared" si="4"/>
        <v>0</v>
      </c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18">
        <f>'Solar Power Plant Data'!A122</f>
        <v>42887</v>
      </c>
      <c r="B122" s="19">
        <f>'Solar Power Plant Data'!H122</f>
        <v>0</v>
      </c>
      <c r="C122" s="19">
        <f t="shared" si="1"/>
        <v>0</v>
      </c>
      <c r="D122" s="19">
        <f t="shared" si="2"/>
        <v>0</v>
      </c>
      <c r="E122" s="21">
        <f t="shared" si="3"/>
        <v>0</v>
      </c>
      <c r="F122" s="21">
        <f t="shared" si="4"/>
        <v>0</v>
      </c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18">
        <f>'Solar Power Plant Data'!A123</f>
        <v>42887.04167</v>
      </c>
      <c r="B123" s="19">
        <f>'Solar Power Plant Data'!H123</f>
        <v>0</v>
      </c>
      <c r="C123" s="19">
        <f t="shared" si="1"/>
        <v>0</v>
      </c>
      <c r="D123" s="19">
        <f t="shared" si="2"/>
        <v>0</v>
      </c>
      <c r="E123" s="21">
        <f t="shared" si="3"/>
        <v>0</v>
      </c>
      <c r="F123" s="21">
        <f t="shared" si="4"/>
        <v>0</v>
      </c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18">
        <f>'Solar Power Plant Data'!A124</f>
        <v>42887.08333</v>
      </c>
      <c r="B124" s="19">
        <f>'Solar Power Plant Data'!H124</f>
        <v>0</v>
      </c>
      <c r="C124" s="19">
        <f t="shared" si="1"/>
        <v>0</v>
      </c>
      <c r="D124" s="19">
        <f t="shared" si="2"/>
        <v>0</v>
      </c>
      <c r="E124" s="21">
        <f t="shared" si="3"/>
        <v>0</v>
      </c>
      <c r="F124" s="21">
        <f t="shared" si="4"/>
        <v>0</v>
      </c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18">
        <f>'Solar Power Plant Data'!A125</f>
        <v>42887.125</v>
      </c>
      <c r="B125" s="19">
        <f>'Solar Power Plant Data'!H125</f>
        <v>0</v>
      </c>
      <c r="C125" s="19">
        <f t="shared" si="1"/>
        <v>0</v>
      </c>
      <c r="D125" s="19">
        <f t="shared" si="2"/>
        <v>0</v>
      </c>
      <c r="E125" s="21">
        <f t="shared" si="3"/>
        <v>0</v>
      </c>
      <c r="F125" s="21">
        <f t="shared" si="4"/>
        <v>0</v>
      </c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18">
        <f>'Solar Power Plant Data'!A126</f>
        <v>42887.16667</v>
      </c>
      <c r="B126" s="19">
        <f>'Solar Power Plant Data'!H126</f>
        <v>0</v>
      </c>
      <c r="C126" s="19">
        <f t="shared" si="1"/>
        <v>0</v>
      </c>
      <c r="D126" s="19">
        <f t="shared" si="2"/>
        <v>0</v>
      </c>
      <c r="E126" s="21">
        <f t="shared" si="3"/>
        <v>0</v>
      </c>
      <c r="F126" s="21">
        <f t="shared" si="4"/>
        <v>0</v>
      </c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18">
        <f>'Solar Power Plant Data'!A127</f>
        <v>42887.20833</v>
      </c>
      <c r="B127" s="19">
        <f>'Solar Power Plant Data'!H127</f>
        <v>0</v>
      </c>
      <c r="C127" s="19">
        <f t="shared" si="1"/>
        <v>0</v>
      </c>
      <c r="D127" s="19">
        <f t="shared" si="2"/>
        <v>0</v>
      </c>
      <c r="E127" s="21">
        <f t="shared" si="3"/>
        <v>0</v>
      </c>
      <c r="F127" s="21">
        <f t="shared" si="4"/>
        <v>0</v>
      </c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18">
        <f>'Solar Power Plant Data'!A128</f>
        <v>42887.25</v>
      </c>
      <c r="B128" s="19">
        <f>'Solar Power Plant Data'!H128</f>
        <v>0</v>
      </c>
      <c r="C128" s="19">
        <f t="shared" si="1"/>
        <v>0</v>
      </c>
      <c r="D128" s="19">
        <f t="shared" si="2"/>
        <v>0</v>
      </c>
      <c r="E128" s="21">
        <f t="shared" si="3"/>
        <v>0</v>
      </c>
      <c r="F128" s="21">
        <f t="shared" si="4"/>
        <v>0</v>
      </c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18">
        <f>'Solar Power Plant Data'!A129</f>
        <v>42887.29167</v>
      </c>
      <c r="B129" s="19">
        <f>'Solar Power Plant Data'!H129</f>
        <v>0</v>
      </c>
      <c r="C129" s="19">
        <f t="shared" si="1"/>
        <v>0</v>
      </c>
      <c r="D129" s="19">
        <f t="shared" si="2"/>
        <v>0</v>
      </c>
      <c r="E129" s="21">
        <f t="shared" si="3"/>
        <v>0</v>
      </c>
      <c r="F129" s="21">
        <f t="shared" si="4"/>
        <v>0</v>
      </c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18">
        <f>'Solar Power Plant Data'!A130</f>
        <v>42887.33333</v>
      </c>
      <c r="B130" s="19">
        <f>'Solar Power Plant Data'!H130</f>
        <v>0</v>
      </c>
      <c r="C130" s="19">
        <f t="shared" si="1"/>
        <v>0</v>
      </c>
      <c r="D130" s="19">
        <f t="shared" si="2"/>
        <v>0</v>
      </c>
      <c r="E130" s="21">
        <f t="shared" si="3"/>
        <v>0</v>
      </c>
      <c r="F130" s="21">
        <f t="shared" si="4"/>
        <v>0</v>
      </c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18">
        <f>'Solar Power Plant Data'!A131</f>
        <v>42887.375</v>
      </c>
      <c r="B131" s="19">
        <f>'Solar Power Plant Data'!H131</f>
        <v>0</v>
      </c>
      <c r="C131" s="19">
        <f t="shared" si="1"/>
        <v>0</v>
      </c>
      <c r="D131" s="19">
        <f t="shared" si="2"/>
        <v>0</v>
      </c>
      <c r="E131" s="21">
        <f t="shared" si="3"/>
        <v>0</v>
      </c>
      <c r="F131" s="21">
        <f t="shared" si="4"/>
        <v>0</v>
      </c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18">
        <f>'Solar Power Plant Data'!A132</f>
        <v>42887.41667</v>
      </c>
      <c r="B132" s="19">
        <f>'Solar Power Plant Data'!H132</f>
        <v>0</v>
      </c>
      <c r="C132" s="19">
        <f t="shared" si="1"/>
        <v>0</v>
      </c>
      <c r="D132" s="19">
        <f t="shared" si="2"/>
        <v>0</v>
      </c>
      <c r="E132" s="21">
        <f t="shared" si="3"/>
        <v>0</v>
      </c>
      <c r="F132" s="21">
        <f t="shared" si="4"/>
        <v>0</v>
      </c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18">
        <f>'Solar Power Plant Data'!A133</f>
        <v>42887.45833</v>
      </c>
      <c r="B133" s="19">
        <f>'Solar Power Plant Data'!H133</f>
        <v>0</v>
      </c>
      <c r="C133" s="19">
        <f t="shared" si="1"/>
        <v>0</v>
      </c>
      <c r="D133" s="19">
        <f t="shared" si="2"/>
        <v>0</v>
      </c>
      <c r="E133" s="21">
        <f t="shared" si="3"/>
        <v>0</v>
      </c>
      <c r="F133" s="21">
        <f t="shared" si="4"/>
        <v>0</v>
      </c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18">
        <f>'Solar Power Plant Data'!A134</f>
        <v>42887.5</v>
      </c>
      <c r="B134" s="19">
        <f>'Solar Power Plant Data'!H134</f>
        <v>0</v>
      </c>
      <c r="C134" s="19">
        <f t="shared" si="1"/>
        <v>3531667</v>
      </c>
      <c r="D134" s="19">
        <f t="shared" si="2"/>
        <v>-3531667</v>
      </c>
      <c r="E134" s="21">
        <f t="shared" si="3"/>
        <v>3531667</v>
      </c>
      <c r="F134" s="21">
        <f t="shared" si="4"/>
        <v>12472671798889</v>
      </c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18">
        <f>'Solar Power Plant Data'!A135</f>
        <v>42887.54167</v>
      </c>
      <c r="B135" s="19">
        <f>'Solar Power Plant Data'!H135</f>
        <v>0</v>
      </c>
      <c r="C135" s="19">
        <f t="shared" si="1"/>
        <v>236</v>
      </c>
      <c r="D135" s="19">
        <f t="shared" si="2"/>
        <v>-236</v>
      </c>
      <c r="E135" s="21">
        <f t="shared" si="3"/>
        <v>236</v>
      </c>
      <c r="F135" s="21">
        <f t="shared" si="4"/>
        <v>55696</v>
      </c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18">
        <f>'Solar Power Plant Data'!A136</f>
        <v>42887.58333</v>
      </c>
      <c r="B136" s="19">
        <f>'Solar Power Plant Data'!H136</f>
        <v>0</v>
      </c>
      <c r="C136" s="19">
        <f t="shared" si="1"/>
        <v>0</v>
      </c>
      <c r="D136" s="19">
        <f t="shared" si="2"/>
        <v>0</v>
      </c>
      <c r="E136" s="21">
        <f t="shared" si="3"/>
        <v>0</v>
      </c>
      <c r="F136" s="21">
        <f t="shared" si="4"/>
        <v>0</v>
      </c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18">
        <f>'Solar Power Plant Data'!A137</f>
        <v>42887.625</v>
      </c>
      <c r="B137" s="19">
        <f>'Solar Power Plant Data'!H137</f>
        <v>0</v>
      </c>
      <c r="C137" s="19">
        <f t="shared" si="1"/>
        <v>0</v>
      </c>
      <c r="D137" s="19">
        <f t="shared" si="2"/>
        <v>0</v>
      </c>
      <c r="E137" s="21">
        <f t="shared" si="3"/>
        <v>0</v>
      </c>
      <c r="F137" s="21">
        <f t="shared" si="4"/>
        <v>0</v>
      </c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18">
        <f>'Solar Power Plant Data'!A138</f>
        <v>42887.66667</v>
      </c>
      <c r="B138" s="19">
        <f>'Solar Power Plant Data'!H138</f>
        <v>0</v>
      </c>
      <c r="C138" s="19">
        <f t="shared" si="1"/>
        <v>0</v>
      </c>
      <c r="D138" s="19">
        <f t="shared" si="2"/>
        <v>0</v>
      </c>
      <c r="E138" s="21">
        <f t="shared" si="3"/>
        <v>0</v>
      </c>
      <c r="F138" s="21">
        <f t="shared" si="4"/>
        <v>0</v>
      </c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18">
        <f>'Solar Power Plant Data'!A139</f>
        <v>42887.70833</v>
      </c>
      <c r="B139" s="19">
        <f>'Solar Power Plant Data'!H139</f>
        <v>0</v>
      </c>
      <c r="C139" s="19">
        <f t="shared" si="1"/>
        <v>0</v>
      </c>
      <c r="D139" s="19">
        <f t="shared" si="2"/>
        <v>0</v>
      </c>
      <c r="E139" s="21">
        <f t="shared" si="3"/>
        <v>0</v>
      </c>
      <c r="F139" s="21">
        <f t="shared" si="4"/>
        <v>0</v>
      </c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18">
        <f>'Solar Power Plant Data'!A140</f>
        <v>42887.75</v>
      </c>
      <c r="B140" s="19">
        <f>'Solar Power Plant Data'!H140</f>
        <v>0</v>
      </c>
      <c r="C140" s="19">
        <f t="shared" si="1"/>
        <v>0</v>
      </c>
      <c r="D140" s="19">
        <f t="shared" si="2"/>
        <v>0</v>
      </c>
      <c r="E140" s="21">
        <f t="shared" si="3"/>
        <v>0</v>
      </c>
      <c r="F140" s="21">
        <f t="shared" si="4"/>
        <v>0</v>
      </c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18">
        <f>'Solar Power Plant Data'!A141</f>
        <v>42887.79167</v>
      </c>
      <c r="B141" s="19">
        <f>'Solar Power Plant Data'!H141</f>
        <v>0</v>
      </c>
      <c r="C141" s="19">
        <f t="shared" si="1"/>
        <v>0</v>
      </c>
      <c r="D141" s="19">
        <f t="shared" si="2"/>
        <v>0</v>
      </c>
      <c r="E141" s="21">
        <f t="shared" si="3"/>
        <v>0</v>
      </c>
      <c r="F141" s="21">
        <f t="shared" si="4"/>
        <v>0</v>
      </c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18">
        <f>'Solar Power Plant Data'!A142</f>
        <v>42887.83333</v>
      </c>
      <c r="B142" s="19">
        <f>'Solar Power Plant Data'!H142</f>
        <v>0</v>
      </c>
      <c r="C142" s="19">
        <f t="shared" si="1"/>
        <v>0</v>
      </c>
      <c r="D142" s="19">
        <f t="shared" si="2"/>
        <v>0</v>
      </c>
      <c r="E142" s="21">
        <f t="shared" si="3"/>
        <v>0</v>
      </c>
      <c r="F142" s="21">
        <f t="shared" si="4"/>
        <v>0</v>
      </c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18">
        <f>'Solar Power Plant Data'!A143</f>
        <v>42887.875</v>
      </c>
      <c r="B143" s="19">
        <f>'Solar Power Plant Data'!H143</f>
        <v>0</v>
      </c>
      <c r="C143" s="19">
        <f t="shared" si="1"/>
        <v>0</v>
      </c>
      <c r="D143" s="19">
        <f t="shared" si="2"/>
        <v>0</v>
      </c>
      <c r="E143" s="21">
        <f t="shared" si="3"/>
        <v>0</v>
      </c>
      <c r="F143" s="21">
        <f t="shared" si="4"/>
        <v>0</v>
      </c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18">
        <f>'Solar Power Plant Data'!A144</f>
        <v>42887.91667</v>
      </c>
      <c r="B144" s="19">
        <f>'Solar Power Plant Data'!H144</f>
        <v>0</v>
      </c>
      <c r="C144" s="19">
        <f t="shared" si="1"/>
        <v>0</v>
      </c>
      <c r="D144" s="19">
        <f t="shared" si="2"/>
        <v>0</v>
      </c>
      <c r="E144" s="21">
        <f t="shared" si="3"/>
        <v>0</v>
      </c>
      <c r="F144" s="21">
        <f t="shared" si="4"/>
        <v>0</v>
      </c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18">
        <f>'Solar Power Plant Data'!A145</f>
        <v>42887.95833</v>
      </c>
      <c r="B145" s="19">
        <f>'Solar Power Plant Data'!H145</f>
        <v>0</v>
      </c>
      <c r="C145" s="19">
        <f t="shared" si="1"/>
        <v>0</v>
      </c>
      <c r="D145" s="19">
        <f t="shared" si="2"/>
        <v>0</v>
      </c>
      <c r="E145" s="21">
        <f t="shared" si="3"/>
        <v>0</v>
      </c>
      <c r="F145" s="21">
        <f t="shared" si="4"/>
        <v>0</v>
      </c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18">
        <f>'Solar Power Plant Data'!A146</f>
        <v>42917</v>
      </c>
      <c r="B146" s="19">
        <f>'Solar Power Plant Data'!H146</f>
        <v>0</v>
      </c>
      <c r="C146" s="19">
        <f t="shared" si="1"/>
        <v>0</v>
      </c>
      <c r="D146" s="19">
        <f t="shared" si="2"/>
        <v>0</v>
      </c>
      <c r="E146" s="21">
        <f t="shared" si="3"/>
        <v>0</v>
      </c>
      <c r="F146" s="21">
        <f t="shared" si="4"/>
        <v>0</v>
      </c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18">
        <f>'Solar Power Plant Data'!A147</f>
        <v>42917.04167</v>
      </c>
      <c r="B147" s="19">
        <f>'Solar Power Plant Data'!H147</f>
        <v>0</v>
      </c>
      <c r="C147" s="19">
        <f t="shared" si="1"/>
        <v>0</v>
      </c>
      <c r="D147" s="19">
        <f t="shared" si="2"/>
        <v>0</v>
      </c>
      <c r="E147" s="21">
        <f t="shared" si="3"/>
        <v>0</v>
      </c>
      <c r="F147" s="21">
        <f t="shared" si="4"/>
        <v>0</v>
      </c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18">
        <f>'Solar Power Plant Data'!A148</f>
        <v>42917.08333</v>
      </c>
      <c r="B148" s="19">
        <f>'Solar Power Plant Data'!H148</f>
        <v>0</v>
      </c>
      <c r="C148" s="19">
        <f t="shared" si="1"/>
        <v>0</v>
      </c>
      <c r="D148" s="19">
        <f t="shared" si="2"/>
        <v>0</v>
      </c>
      <c r="E148" s="21">
        <f t="shared" si="3"/>
        <v>0</v>
      </c>
      <c r="F148" s="21">
        <f t="shared" si="4"/>
        <v>0</v>
      </c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18">
        <f>'Solar Power Plant Data'!A149</f>
        <v>42917.125</v>
      </c>
      <c r="B149" s="19">
        <f>'Solar Power Plant Data'!H149</f>
        <v>0</v>
      </c>
      <c r="C149" s="19">
        <f t="shared" si="1"/>
        <v>0</v>
      </c>
      <c r="D149" s="19">
        <f t="shared" si="2"/>
        <v>0</v>
      </c>
      <c r="E149" s="21">
        <f t="shared" si="3"/>
        <v>0</v>
      </c>
      <c r="F149" s="21">
        <f t="shared" si="4"/>
        <v>0</v>
      </c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18">
        <f>'Solar Power Plant Data'!A150</f>
        <v>42917.16667</v>
      </c>
      <c r="B150" s="19">
        <f>'Solar Power Plant Data'!H150</f>
        <v>0</v>
      </c>
      <c r="C150" s="19">
        <f t="shared" si="1"/>
        <v>0</v>
      </c>
      <c r="D150" s="19">
        <f t="shared" si="2"/>
        <v>0</v>
      </c>
      <c r="E150" s="21">
        <f t="shared" si="3"/>
        <v>0</v>
      </c>
      <c r="F150" s="21">
        <f t="shared" si="4"/>
        <v>0</v>
      </c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18">
        <f>'Solar Power Plant Data'!A151</f>
        <v>42917.20833</v>
      </c>
      <c r="B151" s="19">
        <f>'Solar Power Plant Data'!H151</f>
        <v>0</v>
      </c>
      <c r="C151" s="19">
        <f t="shared" si="1"/>
        <v>0</v>
      </c>
      <c r="D151" s="19">
        <f t="shared" si="2"/>
        <v>0</v>
      </c>
      <c r="E151" s="21">
        <f t="shared" si="3"/>
        <v>0</v>
      </c>
      <c r="F151" s="21">
        <f t="shared" si="4"/>
        <v>0</v>
      </c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18">
        <f>'Solar Power Plant Data'!A152</f>
        <v>42917.25</v>
      </c>
      <c r="B152" s="19">
        <f>'Solar Power Plant Data'!H152</f>
        <v>0</v>
      </c>
      <c r="C152" s="19">
        <f t="shared" si="1"/>
        <v>0</v>
      </c>
      <c r="D152" s="19">
        <f t="shared" si="2"/>
        <v>0</v>
      </c>
      <c r="E152" s="21">
        <f t="shared" si="3"/>
        <v>0</v>
      </c>
      <c r="F152" s="21">
        <f t="shared" si="4"/>
        <v>0</v>
      </c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18">
        <f>'Solar Power Plant Data'!A153</f>
        <v>42917.29167</v>
      </c>
      <c r="B153" s="19">
        <f>'Solar Power Plant Data'!H153</f>
        <v>0</v>
      </c>
      <c r="C153" s="19">
        <f t="shared" si="1"/>
        <v>0</v>
      </c>
      <c r="D153" s="19">
        <f t="shared" si="2"/>
        <v>0</v>
      </c>
      <c r="E153" s="21">
        <f t="shared" si="3"/>
        <v>0</v>
      </c>
      <c r="F153" s="21">
        <f t="shared" si="4"/>
        <v>0</v>
      </c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18">
        <f>'Solar Power Plant Data'!A154</f>
        <v>42917.33333</v>
      </c>
      <c r="B154" s="19">
        <f>'Solar Power Plant Data'!H154</f>
        <v>0</v>
      </c>
      <c r="C154" s="19">
        <f t="shared" si="1"/>
        <v>0</v>
      </c>
      <c r="D154" s="19">
        <f t="shared" si="2"/>
        <v>0</v>
      </c>
      <c r="E154" s="21">
        <f t="shared" si="3"/>
        <v>0</v>
      </c>
      <c r="F154" s="21">
        <f t="shared" si="4"/>
        <v>0</v>
      </c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18">
        <f>'Solar Power Plant Data'!A155</f>
        <v>42917.375</v>
      </c>
      <c r="B155" s="19">
        <f>'Solar Power Plant Data'!H155</f>
        <v>0</v>
      </c>
      <c r="C155" s="19">
        <f t="shared" si="1"/>
        <v>0</v>
      </c>
      <c r="D155" s="19">
        <f t="shared" si="2"/>
        <v>0</v>
      </c>
      <c r="E155" s="21">
        <f t="shared" si="3"/>
        <v>0</v>
      </c>
      <c r="F155" s="21">
        <f t="shared" si="4"/>
        <v>0</v>
      </c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18">
        <f>'Solar Power Plant Data'!A156</f>
        <v>42917.41667</v>
      </c>
      <c r="B156" s="19">
        <f>'Solar Power Plant Data'!H156</f>
        <v>0</v>
      </c>
      <c r="C156" s="19">
        <f t="shared" si="1"/>
        <v>0</v>
      </c>
      <c r="D156" s="19">
        <f t="shared" si="2"/>
        <v>0</v>
      </c>
      <c r="E156" s="21">
        <f t="shared" si="3"/>
        <v>0</v>
      </c>
      <c r="F156" s="21">
        <f t="shared" si="4"/>
        <v>0</v>
      </c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18">
        <f>'Solar Power Plant Data'!A157</f>
        <v>42917.45833</v>
      </c>
      <c r="B157" s="19">
        <f>'Solar Power Plant Data'!H157</f>
        <v>218</v>
      </c>
      <c r="C157" s="19">
        <f t="shared" si="1"/>
        <v>0</v>
      </c>
      <c r="D157" s="19">
        <f t="shared" si="2"/>
        <v>218</v>
      </c>
      <c r="E157" s="21">
        <f t="shared" si="3"/>
        <v>218</v>
      </c>
      <c r="F157" s="21">
        <f t="shared" si="4"/>
        <v>47524</v>
      </c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18">
        <f>'Solar Power Plant Data'!A158</f>
        <v>42917.5</v>
      </c>
      <c r="B158" s="19">
        <f>'Solar Power Plant Data'!H158</f>
        <v>8301667</v>
      </c>
      <c r="C158" s="19">
        <f t="shared" si="1"/>
        <v>0</v>
      </c>
      <c r="D158" s="19">
        <f t="shared" si="2"/>
        <v>8301667</v>
      </c>
      <c r="E158" s="21">
        <f t="shared" si="3"/>
        <v>8301667</v>
      </c>
      <c r="F158" s="21">
        <f t="shared" si="4"/>
        <v>68917674978889</v>
      </c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18">
        <f>'Solar Power Plant Data'!A159</f>
        <v>42917.54167</v>
      </c>
      <c r="B159" s="19">
        <f>'Solar Power Plant Data'!H159</f>
        <v>10951666</v>
      </c>
      <c r="C159" s="19">
        <f t="shared" si="1"/>
        <v>0</v>
      </c>
      <c r="D159" s="19">
        <f t="shared" si="2"/>
        <v>10951666</v>
      </c>
      <c r="E159" s="21">
        <f t="shared" si="3"/>
        <v>10951666</v>
      </c>
      <c r="F159" s="21">
        <f t="shared" si="4"/>
        <v>119938988175556</v>
      </c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18">
        <f>'Solar Power Plant Data'!A160</f>
        <v>42917.58333</v>
      </c>
      <c r="B160" s="19">
        <f>'Solar Power Plant Data'!H160</f>
        <v>472</v>
      </c>
      <c r="C160" s="19">
        <f t="shared" si="1"/>
        <v>0</v>
      </c>
      <c r="D160" s="19">
        <f t="shared" si="2"/>
        <v>472</v>
      </c>
      <c r="E160" s="21">
        <f t="shared" si="3"/>
        <v>472</v>
      </c>
      <c r="F160" s="21">
        <f t="shared" si="4"/>
        <v>222784</v>
      </c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18">
        <f>'Solar Power Plant Data'!A161</f>
        <v>42917.625</v>
      </c>
      <c r="B161" s="19">
        <f>'Solar Power Plant Data'!H161</f>
        <v>1793333</v>
      </c>
      <c r="C161" s="19">
        <f t="shared" si="1"/>
        <v>0</v>
      </c>
      <c r="D161" s="19">
        <f t="shared" si="2"/>
        <v>1793333</v>
      </c>
      <c r="E161" s="21">
        <f t="shared" si="3"/>
        <v>1793333</v>
      </c>
      <c r="F161" s="21">
        <f t="shared" si="4"/>
        <v>3216043248889</v>
      </c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18">
        <f>'Solar Power Plant Data'!A162</f>
        <v>42917.66667</v>
      </c>
      <c r="B162" s="19">
        <f>'Solar Power Plant Data'!H162</f>
        <v>0</v>
      </c>
      <c r="C162" s="19">
        <f t="shared" si="1"/>
        <v>0</v>
      </c>
      <c r="D162" s="19">
        <f t="shared" si="2"/>
        <v>0</v>
      </c>
      <c r="E162" s="21">
        <f t="shared" si="3"/>
        <v>0</v>
      </c>
      <c r="F162" s="21">
        <f t="shared" si="4"/>
        <v>0</v>
      </c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18">
        <f>'Solar Power Plant Data'!A163</f>
        <v>42917.70833</v>
      </c>
      <c r="B163" s="19">
        <f>'Solar Power Plant Data'!H163</f>
        <v>0</v>
      </c>
      <c r="C163" s="19">
        <f t="shared" si="1"/>
        <v>0</v>
      </c>
      <c r="D163" s="19">
        <f t="shared" si="2"/>
        <v>0</v>
      </c>
      <c r="E163" s="21">
        <f t="shared" si="3"/>
        <v>0</v>
      </c>
      <c r="F163" s="21">
        <f t="shared" si="4"/>
        <v>0</v>
      </c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18">
        <f>'Solar Power Plant Data'!A164</f>
        <v>42917.75</v>
      </c>
      <c r="B164" s="19">
        <f>'Solar Power Plant Data'!H164</f>
        <v>0</v>
      </c>
      <c r="C164" s="19">
        <f t="shared" si="1"/>
        <v>0</v>
      </c>
      <c r="D164" s="19">
        <f t="shared" si="2"/>
        <v>0</v>
      </c>
      <c r="E164" s="21">
        <f t="shared" si="3"/>
        <v>0</v>
      </c>
      <c r="F164" s="21">
        <f t="shared" si="4"/>
        <v>0</v>
      </c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18">
        <f>'Solar Power Plant Data'!A165</f>
        <v>42917.79167</v>
      </c>
      <c r="B165" s="19">
        <f>'Solar Power Plant Data'!H165</f>
        <v>0</v>
      </c>
      <c r="C165" s="19">
        <f t="shared" si="1"/>
        <v>0</v>
      </c>
      <c r="D165" s="19">
        <f t="shared" si="2"/>
        <v>0</v>
      </c>
      <c r="E165" s="21">
        <f t="shared" si="3"/>
        <v>0</v>
      </c>
      <c r="F165" s="21">
        <f t="shared" si="4"/>
        <v>0</v>
      </c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18">
        <f>'Solar Power Plant Data'!A166</f>
        <v>42917.83333</v>
      </c>
      <c r="B166" s="19">
        <f>'Solar Power Plant Data'!H166</f>
        <v>0</v>
      </c>
      <c r="C166" s="19">
        <f t="shared" si="1"/>
        <v>0</v>
      </c>
      <c r="D166" s="19">
        <f t="shared" si="2"/>
        <v>0</v>
      </c>
      <c r="E166" s="21">
        <f t="shared" si="3"/>
        <v>0</v>
      </c>
      <c r="F166" s="21">
        <f t="shared" si="4"/>
        <v>0</v>
      </c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18">
        <f>'Solar Power Plant Data'!A167</f>
        <v>42917.875</v>
      </c>
      <c r="B167" s="19">
        <f>'Solar Power Plant Data'!H167</f>
        <v>0</v>
      </c>
      <c r="C167" s="19">
        <f t="shared" si="1"/>
        <v>0</v>
      </c>
      <c r="D167" s="19">
        <f t="shared" si="2"/>
        <v>0</v>
      </c>
      <c r="E167" s="21">
        <f t="shared" si="3"/>
        <v>0</v>
      </c>
      <c r="F167" s="21">
        <f t="shared" si="4"/>
        <v>0</v>
      </c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18">
        <f>'Solar Power Plant Data'!A168</f>
        <v>42917.91667</v>
      </c>
      <c r="B168" s="19">
        <f>'Solar Power Plant Data'!H168</f>
        <v>0</v>
      </c>
      <c r="C168" s="19">
        <f t="shared" si="1"/>
        <v>0</v>
      </c>
      <c r="D168" s="19">
        <f t="shared" si="2"/>
        <v>0</v>
      </c>
      <c r="E168" s="21">
        <f t="shared" si="3"/>
        <v>0</v>
      </c>
      <c r="F168" s="21">
        <f t="shared" si="4"/>
        <v>0</v>
      </c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18">
        <f>'Solar Power Plant Data'!A169</f>
        <v>42917.95833</v>
      </c>
      <c r="B169" s="19">
        <f>'Solar Power Plant Data'!H169</f>
        <v>0</v>
      </c>
      <c r="C169" s="19">
        <f t="shared" si="1"/>
        <v>0</v>
      </c>
      <c r="D169" s="19">
        <f t="shared" si="2"/>
        <v>0</v>
      </c>
      <c r="E169" s="21">
        <f t="shared" si="3"/>
        <v>0</v>
      </c>
      <c r="F169" s="21">
        <f t="shared" si="4"/>
        <v>0</v>
      </c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18">
        <f>'Solar Power Plant Data'!A170</f>
        <v>42948</v>
      </c>
      <c r="B170" s="19">
        <f>'Solar Power Plant Data'!H170</f>
        <v>0</v>
      </c>
      <c r="C170" s="19">
        <f t="shared" si="1"/>
        <v>0</v>
      </c>
      <c r="D170" s="19">
        <f t="shared" si="2"/>
        <v>0</v>
      </c>
      <c r="E170" s="21">
        <f t="shared" si="3"/>
        <v>0</v>
      </c>
      <c r="F170" s="21">
        <f t="shared" si="4"/>
        <v>0</v>
      </c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18">
        <f>'Solar Power Plant Data'!A171</f>
        <v>42948.04167</v>
      </c>
      <c r="B171" s="19">
        <f>'Solar Power Plant Data'!H171</f>
        <v>0</v>
      </c>
      <c r="C171" s="19">
        <f t="shared" si="1"/>
        <v>0</v>
      </c>
      <c r="D171" s="19">
        <f t="shared" si="2"/>
        <v>0</v>
      </c>
      <c r="E171" s="21">
        <f t="shared" si="3"/>
        <v>0</v>
      </c>
      <c r="F171" s="21">
        <f t="shared" si="4"/>
        <v>0</v>
      </c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18">
        <f>'Solar Power Plant Data'!A172</f>
        <v>42948.08333</v>
      </c>
      <c r="B172" s="19">
        <f>'Solar Power Plant Data'!H172</f>
        <v>0</v>
      </c>
      <c r="C172" s="19">
        <f t="shared" si="1"/>
        <v>0</v>
      </c>
      <c r="D172" s="19">
        <f t="shared" si="2"/>
        <v>0</v>
      </c>
      <c r="E172" s="21">
        <f t="shared" si="3"/>
        <v>0</v>
      </c>
      <c r="F172" s="21">
        <f t="shared" si="4"/>
        <v>0</v>
      </c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18">
        <f>'Solar Power Plant Data'!A173</f>
        <v>42948.125</v>
      </c>
      <c r="B173" s="19">
        <f>'Solar Power Plant Data'!H173</f>
        <v>0</v>
      </c>
      <c r="C173" s="19">
        <f t="shared" si="1"/>
        <v>0</v>
      </c>
      <c r="D173" s="19">
        <f t="shared" si="2"/>
        <v>0</v>
      </c>
      <c r="E173" s="21">
        <f t="shared" si="3"/>
        <v>0</v>
      </c>
      <c r="F173" s="21">
        <f t="shared" si="4"/>
        <v>0</v>
      </c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18">
        <f>'Solar Power Plant Data'!A174</f>
        <v>42948.16667</v>
      </c>
      <c r="B174" s="19">
        <f>'Solar Power Plant Data'!H174</f>
        <v>0</v>
      </c>
      <c r="C174" s="19">
        <f t="shared" si="1"/>
        <v>0</v>
      </c>
      <c r="D174" s="19">
        <f t="shared" si="2"/>
        <v>0</v>
      </c>
      <c r="E174" s="21">
        <f t="shared" si="3"/>
        <v>0</v>
      </c>
      <c r="F174" s="21">
        <f t="shared" si="4"/>
        <v>0</v>
      </c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18">
        <f>'Solar Power Plant Data'!A175</f>
        <v>42948.20833</v>
      </c>
      <c r="B175" s="19">
        <f>'Solar Power Plant Data'!H175</f>
        <v>0</v>
      </c>
      <c r="C175" s="19">
        <f t="shared" si="1"/>
        <v>0</v>
      </c>
      <c r="D175" s="19">
        <f t="shared" si="2"/>
        <v>0</v>
      </c>
      <c r="E175" s="21">
        <f t="shared" si="3"/>
        <v>0</v>
      </c>
      <c r="F175" s="21">
        <f t="shared" si="4"/>
        <v>0</v>
      </c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18">
        <f>'Solar Power Plant Data'!A176</f>
        <v>42948.25</v>
      </c>
      <c r="B176" s="19">
        <f>'Solar Power Plant Data'!H176</f>
        <v>0</v>
      </c>
      <c r="C176" s="19">
        <f t="shared" si="1"/>
        <v>0</v>
      </c>
      <c r="D176" s="19">
        <f t="shared" si="2"/>
        <v>0</v>
      </c>
      <c r="E176" s="21">
        <f t="shared" si="3"/>
        <v>0</v>
      </c>
      <c r="F176" s="21">
        <f t="shared" si="4"/>
        <v>0</v>
      </c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18">
        <f>'Solar Power Plant Data'!A177</f>
        <v>42948.29167</v>
      </c>
      <c r="B177" s="19">
        <f>'Solar Power Plant Data'!H177</f>
        <v>0</v>
      </c>
      <c r="C177" s="19">
        <f t="shared" si="1"/>
        <v>0</v>
      </c>
      <c r="D177" s="19">
        <f t="shared" si="2"/>
        <v>0</v>
      </c>
      <c r="E177" s="21">
        <f t="shared" si="3"/>
        <v>0</v>
      </c>
      <c r="F177" s="21">
        <f t="shared" si="4"/>
        <v>0</v>
      </c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18">
        <f>'Solar Power Plant Data'!A178</f>
        <v>42948.33333</v>
      </c>
      <c r="B178" s="19">
        <f>'Solar Power Plant Data'!H178</f>
        <v>0</v>
      </c>
      <c r="C178" s="19">
        <f t="shared" si="1"/>
        <v>0</v>
      </c>
      <c r="D178" s="19">
        <f t="shared" si="2"/>
        <v>0</v>
      </c>
      <c r="E178" s="21">
        <f t="shared" si="3"/>
        <v>0</v>
      </c>
      <c r="F178" s="21">
        <f t="shared" si="4"/>
        <v>0</v>
      </c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18">
        <f>'Solar Power Plant Data'!A179</f>
        <v>42948.375</v>
      </c>
      <c r="B179" s="19">
        <f>'Solar Power Plant Data'!H179</f>
        <v>0</v>
      </c>
      <c r="C179" s="19">
        <f t="shared" si="1"/>
        <v>0</v>
      </c>
      <c r="D179" s="19">
        <f t="shared" si="2"/>
        <v>0</v>
      </c>
      <c r="E179" s="21">
        <f t="shared" si="3"/>
        <v>0</v>
      </c>
      <c r="F179" s="21">
        <f t="shared" si="4"/>
        <v>0</v>
      </c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18">
        <f>'Solar Power Plant Data'!A180</f>
        <v>42948.41667</v>
      </c>
      <c r="B180" s="19">
        <f>'Solar Power Plant Data'!H180</f>
        <v>0</v>
      </c>
      <c r="C180" s="19">
        <f t="shared" si="1"/>
        <v>0</v>
      </c>
      <c r="D180" s="19">
        <f t="shared" si="2"/>
        <v>0</v>
      </c>
      <c r="E180" s="21">
        <f t="shared" si="3"/>
        <v>0</v>
      </c>
      <c r="F180" s="21">
        <f t="shared" si="4"/>
        <v>0</v>
      </c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18">
        <f>'Solar Power Plant Data'!A181</f>
        <v>42948.45833</v>
      </c>
      <c r="B181" s="19">
        <f>'Solar Power Plant Data'!H181</f>
        <v>1418333</v>
      </c>
      <c r="C181" s="19">
        <f t="shared" si="1"/>
        <v>218</v>
      </c>
      <c r="D181" s="19">
        <f t="shared" si="2"/>
        <v>1418115</v>
      </c>
      <c r="E181" s="21">
        <f t="shared" si="3"/>
        <v>1418115</v>
      </c>
      <c r="F181" s="21">
        <f t="shared" si="4"/>
        <v>2011050153225</v>
      </c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18">
        <f>'Solar Power Plant Data'!A182</f>
        <v>42948.5</v>
      </c>
      <c r="B182" s="19">
        <f>'Solar Power Plant Data'!H182</f>
        <v>6998334</v>
      </c>
      <c r="C182" s="19">
        <f t="shared" si="1"/>
        <v>8301667</v>
      </c>
      <c r="D182" s="19">
        <f t="shared" si="2"/>
        <v>-1303333</v>
      </c>
      <c r="E182" s="21">
        <f t="shared" si="3"/>
        <v>1303333</v>
      </c>
      <c r="F182" s="21">
        <f t="shared" si="4"/>
        <v>1698676908889</v>
      </c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18">
        <f>'Solar Power Plant Data'!A183</f>
        <v>42948.54167</v>
      </c>
      <c r="B183" s="19">
        <f>'Solar Power Plant Data'!H183</f>
        <v>13841667</v>
      </c>
      <c r="C183" s="19">
        <f t="shared" si="1"/>
        <v>10951666</v>
      </c>
      <c r="D183" s="19">
        <f t="shared" si="2"/>
        <v>2890001</v>
      </c>
      <c r="E183" s="21">
        <f t="shared" si="3"/>
        <v>2890001</v>
      </c>
      <c r="F183" s="21">
        <f t="shared" si="4"/>
        <v>8352105780001</v>
      </c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18">
        <f>'Solar Power Plant Data'!A184</f>
        <v>42948.58333</v>
      </c>
      <c r="B184" s="19">
        <f>'Solar Power Plant Data'!H184</f>
        <v>432</v>
      </c>
      <c r="C184" s="19">
        <f t="shared" si="1"/>
        <v>472</v>
      </c>
      <c r="D184" s="19">
        <f t="shared" si="2"/>
        <v>-40</v>
      </c>
      <c r="E184" s="21">
        <f t="shared" si="3"/>
        <v>40</v>
      </c>
      <c r="F184" s="21">
        <f t="shared" si="4"/>
        <v>1600</v>
      </c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18">
        <f>'Solar Power Plant Data'!A185</f>
        <v>42948.625</v>
      </c>
      <c r="B185" s="19">
        <f>'Solar Power Plant Data'!H185</f>
        <v>1064999</v>
      </c>
      <c r="C185" s="19">
        <f t="shared" si="1"/>
        <v>1793333</v>
      </c>
      <c r="D185" s="19">
        <f t="shared" si="2"/>
        <v>-728334</v>
      </c>
      <c r="E185" s="21">
        <f t="shared" si="3"/>
        <v>728334</v>
      </c>
      <c r="F185" s="21">
        <f t="shared" si="4"/>
        <v>530470415556</v>
      </c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18">
        <f>'Solar Power Plant Data'!A186</f>
        <v>42948.66667</v>
      </c>
      <c r="B186" s="19">
        <f>'Solar Power Plant Data'!H186</f>
        <v>0</v>
      </c>
      <c r="C186" s="19">
        <f t="shared" si="1"/>
        <v>0</v>
      </c>
      <c r="D186" s="19">
        <f t="shared" si="2"/>
        <v>0</v>
      </c>
      <c r="E186" s="21">
        <f t="shared" si="3"/>
        <v>0</v>
      </c>
      <c r="F186" s="21">
        <f t="shared" si="4"/>
        <v>0</v>
      </c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18">
        <f>'Solar Power Plant Data'!A187</f>
        <v>42948.70833</v>
      </c>
      <c r="B187" s="19">
        <f>'Solar Power Plant Data'!H187</f>
        <v>0</v>
      </c>
      <c r="C187" s="19">
        <f t="shared" si="1"/>
        <v>0</v>
      </c>
      <c r="D187" s="19">
        <f t="shared" si="2"/>
        <v>0</v>
      </c>
      <c r="E187" s="21">
        <f t="shared" si="3"/>
        <v>0</v>
      </c>
      <c r="F187" s="21">
        <f t="shared" si="4"/>
        <v>0</v>
      </c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18">
        <f>'Solar Power Plant Data'!A188</f>
        <v>42948.75</v>
      </c>
      <c r="B188" s="19">
        <f>'Solar Power Plant Data'!H188</f>
        <v>0</v>
      </c>
      <c r="C188" s="19">
        <f t="shared" si="1"/>
        <v>0</v>
      </c>
      <c r="D188" s="19">
        <f t="shared" si="2"/>
        <v>0</v>
      </c>
      <c r="E188" s="21">
        <f t="shared" si="3"/>
        <v>0</v>
      </c>
      <c r="F188" s="21">
        <f t="shared" si="4"/>
        <v>0</v>
      </c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18">
        <f>'Solar Power Plant Data'!A189</f>
        <v>42948.79167</v>
      </c>
      <c r="B189" s="19">
        <f>'Solar Power Plant Data'!H189</f>
        <v>0</v>
      </c>
      <c r="C189" s="19">
        <f t="shared" si="1"/>
        <v>0</v>
      </c>
      <c r="D189" s="19">
        <f t="shared" si="2"/>
        <v>0</v>
      </c>
      <c r="E189" s="21">
        <f t="shared" si="3"/>
        <v>0</v>
      </c>
      <c r="F189" s="21">
        <f t="shared" si="4"/>
        <v>0</v>
      </c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18">
        <f>'Solar Power Plant Data'!A190</f>
        <v>42948.83333</v>
      </c>
      <c r="B190" s="19">
        <f>'Solar Power Plant Data'!H190</f>
        <v>0</v>
      </c>
      <c r="C190" s="19">
        <f t="shared" si="1"/>
        <v>0</v>
      </c>
      <c r="D190" s="19">
        <f t="shared" si="2"/>
        <v>0</v>
      </c>
      <c r="E190" s="21">
        <f t="shared" si="3"/>
        <v>0</v>
      </c>
      <c r="F190" s="21">
        <f t="shared" si="4"/>
        <v>0</v>
      </c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18">
        <f>'Solar Power Plant Data'!A191</f>
        <v>42948.875</v>
      </c>
      <c r="B191" s="19">
        <f>'Solar Power Plant Data'!H191</f>
        <v>0</v>
      </c>
      <c r="C191" s="19">
        <f t="shared" si="1"/>
        <v>0</v>
      </c>
      <c r="D191" s="19">
        <f t="shared" si="2"/>
        <v>0</v>
      </c>
      <c r="E191" s="21">
        <f t="shared" si="3"/>
        <v>0</v>
      </c>
      <c r="F191" s="21">
        <f t="shared" si="4"/>
        <v>0</v>
      </c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18">
        <f>'Solar Power Plant Data'!A192</f>
        <v>42948.91667</v>
      </c>
      <c r="B192" s="19">
        <f>'Solar Power Plant Data'!H192</f>
        <v>0</v>
      </c>
      <c r="C192" s="19">
        <f t="shared" si="1"/>
        <v>0</v>
      </c>
      <c r="D192" s="19">
        <f t="shared" si="2"/>
        <v>0</v>
      </c>
      <c r="E192" s="21">
        <f t="shared" si="3"/>
        <v>0</v>
      </c>
      <c r="F192" s="21">
        <f t="shared" si="4"/>
        <v>0</v>
      </c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18">
        <f>'Solar Power Plant Data'!A193</f>
        <v>42948.95833</v>
      </c>
      <c r="B193" s="19">
        <f>'Solar Power Plant Data'!H193</f>
        <v>0</v>
      </c>
      <c r="C193" s="19">
        <f t="shared" si="1"/>
        <v>0</v>
      </c>
      <c r="D193" s="19">
        <f t="shared" si="2"/>
        <v>0</v>
      </c>
      <c r="E193" s="21">
        <f t="shared" si="3"/>
        <v>0</v>
      </c>
      <c r="F193" s="21">
        <f t="shared" si="4"/>
        <v>0</v>
      </c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18">
        <f>'Solar Power Plant Data'!A194</f>
        <v>42979</v>
      </c>
      <c r="B194" s="19">
        <f>'Solar Power Plant Data'!H194</f>
        <v>0</v>
      </c>
      <c r="C194" s="19">
        <f t="shared" si="1"/>
        <v>0</v>
      </c>
      <c r="D194" s="19">
        <f t="shared" si="2"/>
        <v>0</v>
      </c>
      <c r="E194" s="21">
        <f t="shared" si="3"/>
        <v>0</v>
      </c>
      <c r="F194" s="21">
        <f t="shared" si="4"/>
        <v>0</v>
      </c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18">
        <f>'Solar Power Plant Data'!A195</f>
        <v>42979.04167</v>
      </c>
      <c r="B195" s="19">
        <f>'Solar Power Plant Data'!H195</f>
        <v>0</v>
      </c>
      <c r="C195" s="19">
        <f t="shared" si="1"/>
        <v>0</v>
      </c>
      <c r="D195" s="19">
        <f t="shared" si="2"/>
        <v>0</v>
      </c>
      <c r="E195" s="21">
        <f t="shared" si="3"/>
        <v>0</v>
      </c>
      <c r="F195" s="21">
        <f t="shared" si="4"/>
        <v>0</v>
      </c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18">
        <f>'Solar Power Plant Data'!A196</f>
        <v>42979.08333</v>
      </c>
      <c r="B196" s="19">
        <f>'Solar Power Plant Data'!H196</f>
        <v>0</v>
      </c>
      <c r="C196" s="19">
        <f t="shared" si="1"/>
        <v>0</v>
      </c>
      <c r="D196" s="19">
        <f t="shared" si="2"/>
        <v>0</v>
      </c>
      <c r="E196" s="21">
        <f t="shared" si="3"/>
        <v>0</v>
      </c>
      <c r="F196" s="21">
        <f t="shared" si="4"/>
        <v>0</v>
      </c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18">
        <f>'Solar Power Plant Data'!A197</f>
        <v>42979.125</v>
      </c>
      <c r="B197" s="19">
        <f>'Solar Power Plant Data'!H197</f>
        <v>0</v>
      </c>
      <c r="C197" s="19">
        <f t="shared" si="1"/>
        <v>0</v>
      </c>
      <c r="D197" s="19">
        <f t="shared" si="2"/>
        <v>0</v>
      </c>
      <c r="E197" s="21">
        <f t="shared" si="3"/>
        <v>0</v>
      </c>
      <c r="F197" s="21">
        <f t="shared" si="4"/>
        <v>0</v>
      </c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18">
        <f>'Solar Power Plant Data'!A198</f>
        <v>42979.16667</v>
      </c>
      <c r="B198" s="19">
        <f>'Solar Power Plant Data'!H198</f>
        <v>0</v>
      </c>
      <c r="C198" s="19">
        <f t="shared" si="1"/>
        <v>0</v>
      </c>
      <c r="D198" s="19">
        <f t="shared" si="2"/>
        <v>0</v>
      </c>
      <c r="E198" s="21">
        <f t="shared" si="3"/>
        <v>0</v>
      </c>
      <c r="F198" s="21">
        <f t="shared" si="4"/>
        <v>0</v>
      </c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18">
        <f>'Solar Power Plant Data'!A199</f>
        <v>42979.20833</v>
      </c>
      <c r="B199" s="19">
        <f>'Solar Power Plant Data'!H199</f>
        <v>0</v>
      </c>
      <c r="C199" s="19">
        <f t="shared" si="1"/>
        <v>0</v>
      </c>
      <c r="D199" s="19">
        <f t="shared" si="2"/>
        <v>0</v>
      </c>
      <c r="E199" s="21">
        <f t="shared" si="3"/>
        <v>0</v>
      </c>
      <c r="F199" s="21">
        <f t="shared" si="4"/>
        <v>0</v>
      </c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18">
        <f>'Solar Power Plant Data'!A200</f>
        <v>42979.25</v>
      </c>
      <c r="B200" s="19">
        <f>'Solar Power Plant Data'!H200</f>
        <v>0</v>
      </c>
      <c r="C200" s="19">
        <f t="shared" si="1"/>
        <v>0</v>
      </c>
      <c r="D200" s="19">
        <f t="shared" si="2"/>
        <v>0</v>
      </c>
      <c r="E200" s="21">
        <f t="shared" si="3"/>
        <v>0</v>
      </c>
      <c r="F200" s="21">
        <f t="shared" si="4"/>
        <v>0</v>
      </c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18">
        <f>'Solar Power Plant Data'!A201</f>
        <v>42979.29167</v>
      </c>
      <c r="B201" s="19">
        <f>'Solar Power Plant Data'!H201</f>
        <v>0</v>
      </c>
      <c r="C201" s="19">
        <f t="shared" si="1"/>
        <v>0</v>
      </c>
      <c r="D201" s="19">
        <f t="shared" si="2"/>
        <v>0</v>
      </c>
      <c r="E201" s="21">
        <f t="shared" si="3"/>
        <v>0</v>
      </c>
      <c r="F201" s="21">
        <f t="shared" si="4"/>
        <v>0</v>
      </c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18">
        <f>'Solar Power Plant Data'!A202</f>
        <v>42979.33333</v>
      </c>
      <c r="B202" s="19">
        <f>'Solar Power Plant Data'!H202</f>
        <v>0</v>
      </c>
      <c r="C202" s="19">
        <f t="shared" si="1"/>
        <v>0</v>
      </c>
      <c r="D202" s="19">
        <f t="shared" si="2"/>
        <v>0</v>
      </c>
      <c r="E202" s="21">
        <f t="shared" si="3"/>
        <v>0</v>
      </c>
      <c r="F202" s="21">
        <f t="shared" si="4"/>
        <v>0</v>
      </c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18">
        <f>'Solar Power Plant Data'!A203</f>
        <v>42979.375</v>
      </c>
      <c r="B203" s="19">
        <f>'Solar Power Plant Data'!H203</f>
        <v>0</v>
      </c>
      <c r="C203" s="19">
        <f t="shared" si="1"/>
        <v>0</v>
      </c>
      <c r="D203" s="19">
        <f t="shared" si="2"/>
        <v>0</v>
      </c>
      <c r="E203" s="21">
        <f t="shared" si="3"/>
        <v>0</v>
      </c>
      <c r="F203" s="21">
        <f t="shared" si="4"/>
        <v>0</v>
      </c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18">
        <f>'Solar Power Plant Data'!A204</f>
        <v>42979.41667</v>
      </c>
      <c r="B204" s="19">
        <f>'Solar Power Plant Data'!H204</f>
        <v>0</v>
      </c>
      <c r="C204" s="19">
        <f t="shared" si="1"/>
        <v>0</v>
      </c>
      <c r="D204" s="19">
        <f t="shared" si="2"/>
        <v>0</v>
      </c>
      <c r="E204" s="21">
        <f t="shared" si="3"/>
        <v>0</v>
      </c>
      <c r="F204" s="21">
        <f t="shared" si="4"/>
        <v>0</v>
      </c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18">
        <f>'Solar Power Plant Data'!A205</f>
        <v>42979.45833</v>
      </c>
      <c r="B205" s="19">
        <f>'Solar Power Plant Data'!H205</f>
        <v>80</v>
      </c>
      <c r="C205" s="19">
        <f t="shared" si="1"/>
        <v>1418333</v>
      </c>
      <c r="D205" s="19">
        <f t="shared" si="2"/>
        <v>-1418253</v>
      </c>
      <c r="E205" s="21">
        <f t="shared" si="3"/>
        <v>1418253</v>
      </c>
      <c r="F205" s="21">
        <f t="shared" si="4"/>
        <v>2011441572009</v>
      </c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18">
        <f>'Solar Power Plant Data'!A206</f>
        <v>42979.5</v>
      </c>
      <c r="B206" s="19">
        <f>'Solar Power Plant Data'!H206</f>
        <v>1638333</v>
      </c>
      <c r="C206" s="19">
        <f t="shared" si="1"/>
        <v>6998334</v>
      </c>
      <c r="D206" s="19">
        <f t="shared" si="2"/>
        <v>-5360001</v>
      </c>
      <c r="E206" s="21">
        <f t="shared" si="3"/>
        <v>5360001</v>
      </c>
      <c r="F206" s="21">
        <f t="shared" si="4"/>
        <v>28729610720001</v>
      </c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18">
        <f>'Solar Power Plant Data'!A207</f>
        <v>42979.54167</v>
      </c>
      <c r="B207" s="19">
        <f>'Solar Power Plant Data'!H207</f>
        <v>208</v>
      </c>
      <c r="C207" s="19">
        <f t="shared" si="1"/>
        <v>13841667</v>
      </c>
      <c r="D207" s="19">
        <f t="shared" si="2"/>
        <v>-13841459</v>
      </c>
      <c r="E207" s="21">
        <f t="shared" si="3"/>
        <v>13841459</v>
      </c>
      <c r="F207" s="21">
        <f t="shared" si="4"/>
        <v>191585987248681</v>
      </c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18">
        <f>'Solar Power Plant Data'!A208</f>
        <v>42979.58333</v>
      </c>
      <c r="B208" s="19">
        <f>'Solar Power Plant Data'!H208</f>
        <v>1125001</v>
      </c>
      <c r="C208" s="19">
        <f t="shared" si="1"/>
        <v>432</v>
      </c>
      <c r="D208" s="19">
        <f t="shared" si="2"/>
        <v>1124569</v>
      </c>
      <c r="E208" s="21">
        <f t="shared" si="3"/>
        <v>1124569</v>
      </c>
      <c r="F208" s="21">
        <f t="shared" si="4"/>
        <v>1264655435761</v>
      </c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18">
        <f>'Solar Power Plant Data'!A209</f>
        <v>42979.625</v>
      </c>
      <c r="B209" s="19">
        <f>'Solar Power Plant Data'!H209</f>
        <v>32</v>
      </c>
      <c r="C209" s="19">
        <f t="shared" si="1"/>
        <v>1064999</v>
      </c>
      <c r="D209" s="19">
        <f t="shared" si="2"/>
        <v>-1064967</v>
      </c>
      <c r="E209" s="21">
        <f t="shared" si="3"/>
        <v>1064967</v>
      </c>
      <c r="F209" s="21">
        <f t="shared" si="4"/>
        <v>1134154711089</v>
      </c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18">
        <f>'Solar Power Plant Data'!A210</f>
        <v>42979.66667</v>
      </c>
      <c r="B210" s="19">
        <f>'Solar Power Plant Data'!H210</f>
        <v>0</v>
      </c>
      <c r="C210" s="19">
        <f t="shared" si="1"/>
        <v>0</v>
      </c>
      <c r="D210" s="19">
        <f t="shared" si="2"/>
        <v>0</v>
      </c>
      <c r="E210" s="21">
        <f t="shared" si="3"/>
        <v>0</v>
      </c>
      <c r="F210" s="21">
        <f t="shared" si="4"/>
        <v>0</v>
      </c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18">
        <f>'Solar Power Plant Data'!A211</f>
        <v>42979.70833</v>
      </c>
      <c r="B211" s="19">
        <f>'Solar Power Plant Data'!H211</f>
        <v>0</v>
      </c>
      <c r="C211" s="19">
        <f t="shared" si="1"/>
        <v>0</v>
      </c>
      <c r="D211" s="19">
        <f t="shared" si="2"/>
        <v>0</v>
      </c>
      <c r="E211" s="21">
        <f t="shared" si="3"/>
        <v>0</v>
      </c>
      <c r="F211" s="21">
        <f t="shared" si="4"/>
        <v>0</v>
      </c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18">
        <f>'Solar Power Plant Data'!A212</f>
        <v>42979.75</v>
      </c>
      <c r="B212" s="19">
        <f>'Solar Power Plant Data'!H212</f>
        <v>0</v>
      </c>
      <c r="C212" s="19">
        <f t="shared" si="1"/>
        <v>0</v>
      </c>
      <c r="D212" s="19">
        <f t="shared" si="2"/>
        <v>0</v>
      </c>
      <c r="E212" s="21">
        <f t="shared" si="3"/>
        <v>0</v>
      </c>
      <c r="F212" s="21">
        <f t="shared" si="4"/>
        <v>0</v>
      </c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18">
        <f>'Solar Power Plant Data'!A213</f>
        <v>42979.79167</v>
      </c>
      <c r="B213" s="19">
        <f>'Solar Power Plant Data'!H213</f>
        <v>0</v>
      </c>
      <c r="C213" s="19">
        <f t="shared" si="1"/>
        <v>0</v>
      </c>
      <c r="D213" s="19">
        <f t="shared" si="2"/>
        <v>0</v>
      </c>
      <c r="E213" s="21">
        <f t="shared" si="3"/>
        <v>0</v>
      </c>
      <c r="F213" s="21">
        <f t="shared" si="4"/>
        <v>0</v>
      </c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18">
        <f>'Solar Power Plant Data'!A214</f>
        <v>42979.83333</v>
      </c>
      <c r="B214" s="19">
        <f>'Solar Power Plant Data'!H214</f>
        <v>0</v>
      </c>
      <c r="C214" s="19">
        <f t="shared" si="1"/>
        <v>0</v>
      </c>
      <c r="D214" s="19">
        <f t="shared" si="2"/>
        <v>0</v>
      </c>
      <c r="E214" s="21">
        <f t="shared" si="3"/>
        <v>0</v>
      </c>
      <c r="F214" s="21">
        <f t="shared" si="4"/>
        <v>0</v>
      </c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18">
        <f>'Solar Power Plant Data'!A215</f>
        <v>42979.875</v>
      </c>
      <c r="B215" s="19">
        <f>'Solar Power Plant Data'!H215</f>
        <v>0</v>
      </c>
      <c r="C215" s="19">
        <f t="shared" si="1"/>
        <v>0</v>
      </c>
      <c r="D215" s="19">
        <f t="shared" si="2"/>
        <v>0</v>
      </c>
      <c r="E215" s="21">
        <f t="shared" si="3"/>
        <v>0</v>
      </c>
      <c r="F215" s="21">
        <f t="shared" si="4"/>
        <v>0</v>
      </c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18">
        <f>'Solar Power Plant Data'!A216</f>
        <v>42979.91667</v>
      </c>
      <c r="B216" s="19">
        <f>'Solar Power Plant Data'!H216</f>
        <v>0</v>
      </c>
      <c r="C216" s="19">
        <f t="shared" si="1"/>
        <v>0</v>
      </c>
      <c r="D216" s="19">
        <f t="shared" si="2"/>
        <v>0</v>
      </c>
      <c r="E216" s="21">
        <f t="shared" si="3"/>
        <v>0</v>
      </c>
      <c r="F216" s="21">
        <f t="shared" si="4"/>
        <v>0</v>
      </c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18">
        <f>'Solar Power Plant Data'!A217</f>
        <v>42979.95833</v>
      </c>
      <c r="B217" s="19">
        <f>'Solar Power Plant Data'!H217</f>
        <v>0</v>
      </c>
      <c r="C217" s="19">
        <f t="shared" si="1"/>
        <v>0</v>
      </c>
      <c r="D217" s="19">
        <f t="shared" si="2"/>
        <v>0</v>
      </c>
      <c r="E217" s="21">
        <f t="shared" si="3"/>
        <v>0</v>
      </c>
      <c r="F217" s="21">
        <f t="shared" si="4"/>
        <v>0</v>
      </c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18">
        <f>'Solar Power Plant Data'!A218</f>
        <v>43009</v>
      </c>
      <c r="B218" s="19">
        <f>'Solar Power Plant Data'!H218</f>
        <v>0</v>
      </c>
      <c r="C218" s="19">
        <f t="shared" si="1"/>
        <v>0</v>
      </c>
      <c r="D218" s="19">
        <f t="shared" si="2"/>
        <v>0</v>
      </c>
      <c r="E218" s="21">
        <f t="shared" si="3"/>
        <v>0</v>
      </c>
      <c r="F218" s="21">
        <f t="shared" si="4"/>
        <v>0</v>
      </c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18">
        <f>'Solar Power Plant Data'!A219</f>
        <v>43009.04167</v>
      </c>
      <c r="B219" s="19">
        <f>'Solar Power Plant Data'!H219</f>
        <v>0</v>
      </c>
      <c r="C219" s="19">
        <f t="shared" si="1"/>
        <v>0</v>
      </c>
      <c r="D219" s="19">
        <f t="shared" si="2"/>
        <v>0</v>
      </c>
      <c r="E219" s="21">
        <f t="shared" si="3"/>
        <v>0</v>
      </c>
      <c r="F219" s="21">
        <f t="shared" si="4"/>
        <v>0</v>
      </c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18">
        <f>'Solar Power Plant Data'!A220</f>
        <v>43009.08333</v>
      </c>
      <c r="B220" s="19">
        <f>'Solar Power Plant Data'!H220</f>
        <v>0</v>
      </c>
      <c r="C220" s="19">
        <f t="shared" si="1"/>
        <v>0</v>
      </c>
      <c r="D220" s="19">
        <f t="shared" si="2"/>
        <v>0</v>
      </c>
      <c r="E220" s="21">
        <f t="shared" si="3"/>
        <v>0</v>
      </c>
      <c r="F220" s="21">
        <f t="shared" si="4"/>
        <v>0</v>
      </c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18">
        <f>'Solar Power Plant Data'!A221</f>
        <v>43009.125</v>
      </c>
      <c r="B221" s="19">
        <f>'Solar Power Plant Data'!H221</f>
        <v>0</v>
      </c>
      <c r="C221" s="19">
        <f t="shared" si="1"/>
        <v>0</v>
      </c>
      <c r="D221" s="19">
        <f t="shared" si="2"/>
        <v>0</v>
      </c>
      <c r="E221" s="21">
        <f t="shared" si="3"/>
        <v>0</v>
      </c>
      <c r="F221" s="21">
        <f t="shared" si="4"/>
        <v>0</v>
      </c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18">
        <f>'Solar Power Plant Data'!A222</f>
        <v>43009.16667</v>
      </c>
      <c r="B222" s="19">
        <f>'Solar Power Plant Data'!H222</f>
        <v>0</v>
      </c>
      <c r="C222" s="19">
        <f t="shared" si="1"/>
        <v>0</v>
      </c>
      <c r="D222" s="19">
        <f t="shared" si="2"/>
        <v>0</v>
      </c>
      <c r="E222" s="21">
        <f t="shared" si="3"/>
        <v>0</v>
      </c>
      <c r="F222" s="21">
        <f t="shared" si="4"/>
        <v>0</v>
      </c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18">
        <f>'Solar Power Plant Data'!A223</f>
        <v>43009.20833</v>
      </c>
      <c r="B223" s="19">
        <f>'Solar Power Plant Data'!H223</f>
        <v>0</v>
      </c>
      <c r="C223" s="19">
        <f t="shared" si="1"/>
        <v>0</v>
      </c>
      <c r="D223" s="19">
        <f t="shared" si="2"/>
        <v>0</v>
      </c>
      <c r="E223" s="21">
        <f t="shared" si="3"/>
        <v>0</v>
      </c>
      <c r="F223" s="21">
        <f t="shared" si="4"/>
        <v>0</v>
      </c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18">
        <f>'Solar Power Plant Data'!A224</f>
        <v>43009.25</v>
      </c>
      <c r="B224" s="19">
        <f>'Solar Power Plant Data'!H224</f>
        <v>0</v>
      </c>
      <c r="C224" s="19">
        <f t="shared" si="1"/>
        <v>0</v>
      </c>
      <c r="D224" s="19">
        <f t="shared" si="2"/>
        <v>0</v>
      </c>
      <c r="E224" s="21">
        <f t="shared" si="3"/>
        <v>0</v>
      </c>
      <c r="F224" s="21">
        <f t="shared" si="4"/>
        <v>0</v>
      </c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18">
        <f>'Solar Power Plant Data'!A225</f>
        <v>43009.29167</v>
      </c>
      <c r="B225" s="19">
        <f>'Solar Power Plant Data'!H225</f>
        <v>0</v>
      </c>
      <c r="C225" s="19">
        <f t="shared" si="1"/>
        <v>0</v>
      </c>
      <c r="D225" s="19">
        <f t="shared" si="2"/>
        <v>0</v>
      </c>
      <c r="E225" s="21">
        <f t="shared" si="3"/>
        <v>0</v>
      </c>
      <c r="F225" s="21">
        <f t="shared" si="4"/>
        <v>0</v>
      </c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18">
        <f>'Solar Power Plant Data'!A226</f>
        <v>43009.33333</v>
      </c>
      <c r="B226" s="19">
        <f>'Solar Power Plant Data'!H226</f>
        <v>0</v>
      </c>
      <c r="C226" s="19">
        <f t="shared" si="1"/>
        <v>0</v>
      </c>
      <c r="D226" s="19">
        <f t="shared" si="2"/>
        <v>0</v>
      </c>
      <c r="E226" s="21">
        <f t="shared" si="3"/>
        <v>0</v>
      </c>
      <c r="F226" s="21">
        <f t="shared" si="4"/>
        <v>0</v>
      </c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18">
        <f>'Solar Power Plant Data'!A227</f>
        <v>43009.375</v>
      </c>
      <c r="B227" s="19">
        <f>'Solar Power Plant Data'!H227</f>
        <v>0</v>
      </c>
      <c r="C227" s="19">
        <f t="shared" si="1"/>
        <v>0</v>
      </c>
      <c r="D227" s="19">
        <f t="shared" si="2"/>
        <v>0</v>
      </c>
      <c r="E227" s="21">
        <f t="shared" si="3"/>
        <v>0</v>
      </c>
      <c r="F227" s="21">
        <f t="shared" si="4"/>
        <v>0</v>
      </c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18">
        <f>'Solar Power Plant Data'!A228</f>
        <v>43009.41667</v>
      </c>
      <c r="B228" s="19">
        <f>'Solar Power Plant Data'!H228</f>
        <v>0</v>
      </c>
      <c r="C228" s="19">
        <f t="shared" si="1"/>
        <v>0</v>
      </c>
      <c r="D228" s="19">
        <f t="shared" si="2"/>
        <v>0</v>
      </c>
      <c r="E228" s="21">
        <f t="shared" si="3"/>
        <v>0</v>
      </c>
      <c r="F228" s="21">
        <f t="shared" si="4"/>
        <v>0</v>
      </c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18">
        <f>'Solar Power Plant Data'!A229</f>
        <v>43009.45833</v>
      </c>
      <c r="B229" s="19">
        <f>'Solar Power Plant Data'!H229</f>
        <v>6604999</v>
      </c>
      <c r="C229" s="19">
        <f t="shared" si="1"/>
        <v>80</v>
      </c>
      <c r="D229" s="19">
        <f t="shared" si="2"/>
        <v>6604919</v>
      </c>
      <c r="E229" s="21">
        <f t="shared" si="3"/>
        <v>6604919</v>
      </c>
      <c r="F229" s="21">
        <f t="shared" si="4"/>
        <v>43624954996561</v>
      </c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18">
        <f>'Solar Power Plant Data'!A230</f>
        <v>43009.5</v>
      </c>
      <c r="B230" s="19">
        <f>'Solar Power Plant Data'!H230</f>
        <v>3971667</v>
      </c>
      <c r="C230" s="19">
        <f t="shared" si="1"/>
        <v>1638333</v>
      </c>
      <c r="D230" s="19">
        <f t="shared" si="2"/>
        <v>2333334</v>
      </c>
      <c r="E230" s="21">
        <f t="shared" si="3"/>
        <v>2333334</v>
      </c>
      <c r="F230" s="21">
        <f t="shared" si="4"/>
        <v>5444447555556</v>
      </c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18">
        <f>'Solar Power Plant Data'!A231</f>
        <v>43009.54167</v>
      </c>
      <c r="B231" s="19">
        <f>'Solar Power Plant Data'!H231</f>
        <v>2961667</v>
      </c>
      <c r="C231" s="19">
        <f t="shared" si="1"/>
        <v>208</v>
      </c>
      <c r="D231" s="19">
        <f t="shared" si="2"/>
        <v>2961459</v>
      </c>
      <c r="E231" s="21">
        <f t="shared" si="3"/>
        <v>2961459</v>
      </c>
      <c r="F231" s="21">
        <f t="shared" si="4"/>
        <v>8770239408681</v>
      </c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18">
        <f>'Solar Power Plant Data'!A232</f>
        <v>43009.58333</v>
      </c>
      <c r="B232" s="19">
        <f>'Solar Power Plant Data'!H232</f>
        <v>1626667</v>
      </c>
      <c r="C232" s="19">
        <f t="shared" si="1"/>
        <v>1125001</v>
      </c>
      <c r="D232" s="19">
        <f t="shared" si="2"/>
        <v>501666</v>
      </c>
      <c r="E232" s="21">
        <f t="shared" si="3"/>
        <v>501666</v>
      </c>
      <c r="F232" s="21">
        <f t="shared" si="4"/>
        <v>251668775556</v>
      </c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18">
        <f>'Solar Power Plant Data'!A233</f>
        <v>43009.625</v>
      </c>
      <c r="B233" s="19">
        <f>'Solar Power Plant Data'!H233</f>
        <v>12</v>
      </c>
      <c r="C233" s="19">
        <f t="shared" si="1"/>
        <v>32</v>
      </c>
      <c r="D233" s="19">
        <f t="shared" si="2"/>
        <v>-20</v>
      </c>
      <c r="E233" s="21">
        <f t="shared" si="3"/>
        <v>20</v>
      </c>
      <c r="F233" s="21">
        <f t="shared" si="4"/>
        <v>400</v>
      </c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18">
        <f>'Solar Power Plant Data'!A234</f>
        <v>43009.66667</v>
      </c>
      <c r="B234" s="19">
        <f>'Solar Power Plant Data'!H234</f>
        <v>0</v>
      </c>
      <c r="C234" s="19">
        <f t="shared" si="1"/>
        <v>0</v>
      </c>
      <c r="D234" s="19">
        <f t="shared" si="2"/>
        <v>0</v>
      </c>
      <c r="E234" s="21">
        <f t="shared" si="3"/>
        <v>0</v>
      </c>
      <c r="F234" s="21">
        <f t="shared" si="4"/>
        <v>0</v>
      </c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18">
        <f>'Solar Power Plant Data'!A235</f>
        <v>43009.70833</v>
      </c>
      <c r="B235" s="19">
        <f>'Solar Power Plant Data'!H235</f>
        <v>0</v>
      </c>
      <c r="C235" s="19">
        <f t="shared" si="1"/>
        <v>0</v>
      </c>
      <c r="D235" s="19">
        <f t="shared" si="2"/>
        <v>0</v>
      </c>
      <c r="E235" s="21">
        <f t="shared" si="3"/>
        <v>0</v>
      </c>
      <c r="F235" s="21">
        <f t="shared" si="4"/>
        <v>0</v>
      </c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18">
        <f>'Solar Power Plant Data'!A236</f>
        <v>43009.75</v>
      </c>
      <c r="B236" s="19">
        <f>'Solar Power Plant Data'!H236</f>
        <v>0</v>
      </c>
      <c r="C236" s="19">
        <f t="shared" si="1"/>
        <v>0</v>
      </c>
      <c r="D236" s="19">
        <f t="shared" si="2"/>
        <v>0</v>
      </c>
      <c r="E236" s="21">
        <f t="shared" si="3"/>
        <v>0</v>
      </c>
      <c r="F236" s="21">
        <f t="shared" si="4"/>
        <v>0</v>
      </c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18">
        <f>'Solar Power Plant Data'!A237</f>
        <v>43009.79167</v>
      </c>
      <c r="B237" s="19">
        <f>'Solar Power Plant Data'!H237</f>
        <v>0</v>
      </c>
      <c r="C237" s="19">
        <f t="shared" si="1"/>
        <v>0</v>
      </c>
      <c r="D237" s="19">
        <f t="shared" si="2"/>
        <v>0</v>
      </c>
      <c r="E237" s="21">
        <f t="shared" si="3"/>
        <v>0</v>
      </c>
      <c r="F237" s="21">
        <f t="shared" si="4"/>
        <v>0</v>
      </c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18">
        <f>'Solar Power Plant Data'!A238</f>
        <v>43009.83333</v>
      </c>
      <c r="B238" s="19">
        <f>'Solar Power Plant Data'!H238</f>
        <v>0</v>
      </c>
      <c r="C238" s="19">
        <f t="shared" si="1"/>
        <v>0</v>
      </c>
      <c r="D238" s="19">
        <f t="shared" si="2"/>
        <v>0</v>
      </c>
      <c r="E238" s="21">
        <f t="shared" si="3"/>
        <v>0</v>
      </c>
      <c r="F238" s="21">
        <f t="shared" si="4"/>
        <v>0</v>
      </c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18">
        <f>'Solar Power Plant Data'!A239</f>
        <v>43009.875</v>
      </c>
      <c r="B239" s="19">
        <f>'Solar Power Plant Data'!H239</f>
        <v>0</v>
      </c>
      <c r="C239" s="19">
        <f t="shared" si="1"/>
        <v>0</v>
      </c>
      <c r="D239" s="19">
        <f t="shared" si="2"/>
        <v>0</v>
      </c>
      <c r="E239" s="21">
        <f t="shared" si="3"/>
        <v>0</v>
      </c>
      <c r="F239" s="21">
        <f t="shared" si="4"/>
        <v>0</v>
      </c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18">
        <f>'Solar Power Plant Data'!A240</f>
        <v>43009.91667</v>
      </c>
      <c r="B240" s="19">
        <f>'Solar Power Plant Data'!H240</f>
        <v>0</v>
      </c>
      <c r="C240" s="19">
        <f t="shared" si="1"/>
        <v>0</v>
      </c>
      <c r="D240" s="19">
        <f t="shared" si="2"/>
        <v>0</v>
      </c>
      <c r="E240" s="21">
        <f t="shared" si="3"/>
        <v>0</v>
      </c>
      <c r="F240" s="21">
        <f t="shared" si="4"/>
        <v>0</v>
      </c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18">
        <f>'Solar Power Plant Data'!A241</f>
        <v>43009.95833</v>
      </c>
      <c r="B241" s="19">
        <f>'Solar Power Plant Data'!H241</f>
        <v>0</v>
      </c>
      <c r="C241" s="19">
        <f t="shared" si="1"/>
        <v>0</v>
      </c>
      <c r="D241" s="19">
        <f t="shared" si="2"/>
        <v>0</v>
      </c>
      <c r="E241" s="21">
        <f t="shared" si="3"/>
        <v>0</v>
      </c>
      <c r="F241" s="21">
        <f t="shared" si="4"/>
        <v>0</v>
      </c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18">
        <f>'Solar Power Plant Data'!A242</f>
        <v>43040</v>
      </c>
      <c r="B242" s="19">
        <f>'Solar Power Plant Data'!H242</f>
        <v>0</v>
      </c>
      <c r="C242" s="19">
        <f t="shared" si="1"/>
        <v>0</v>
      </c>
      <c r="D242" s="19">
        <f t="shared" si="2"/>
        <v>0</v>
      </c>
      <c r="E242" s="21">
        <f t="shared" si="3"/>
        <v>0</v>
      </c>
      <c r="F242" s="21">
        <f t="shared" si="4"/>
        <v>0</v>
      </c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18">
        <f>'Solar Power Plant Data'!A243</f>
        <v>43040.04167</v>
      </c>
      <c r="B243" s="19">
        <f>'Solar Power Plant Data'!H243</f>
        <v>0</v>
      </c>
      <c r="C243" s="19">
        <f t="shared" si="1"/>
        <v>0</v>
      </c>
      <c r="D243" s="19">
        <f t="shared" si="2"/>
        <v>0</v>
      </c>
      <c r="E243" s="21">
        <f t="shared" si="3"/>
        <v>0</v>
      </c>
      <c r="F243" s="21">
        <f t="shared" si="4"/>
        <v>0</v>
      </c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18">
        <f>'Solar Power Plant Data'!A244</f>
        <v>43040.08333</v>
      </c>
      <c r="B244" s="19">
        <f>'Solar Power Plant Data'!H244</f>
        <v>0</v>
      </c>
      <c r="C244" s="19">
        <f t="shared" si="1"/>
        <v>0</v>
      </c>
      <c r="D244" s="19">
        <f t="shared" si="2"/>
        <v>0</v>
      </c>
      <c r="E244" s="21">
        <f t="shared" si="3"/>
        <v>0</v>
      </c>
      <c r="F244" s="21">
        <f t="shared" si="4"/>
        <v>0</v>
      </c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18">
        <f>'Solar Power Plant Data'!A245</f>
        <v>43040.125</v>
      </c>
      <c r="B245" s="19">
        <f>'Solar Power Plant Data'!H245</f>
        <v>0</v>
      </c>
      <c r="C245" s="19">
        <f t="shared" si="1"/>
        <v>0</v>
      </c>
      <c r="D245" s="19">
        <f t="shared" si="2"/>
        <v>0</v>
      </c>
      <c r="E245" s="21">
        <f t="shared" si="3"/>
        <v>0</v>
      </c>
      <c r="F245" s="21">
        <f t="shared" si="4"/>
        <v>0</v>
      </c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18">
        <f>'Solar Power Plant Data'!A246</f>
        <v>43040.16667</v>
      </c>
      <c r="B246" s="19">
        <f>'Solar Power Plant Data'!H246</f>
        <v>0</v>
      </c>
      <c r="C246" s="19">
        <f t="shared" si="1"/>
        <v>0</v>
      </c>
      <c r="D246" s="19">
        <f t="shared" si="2"/>
        <v>0</v>
      </c>
      <c r="E246" s="21">
        <f t="shared" si="3"/>
        <v>0</v>
      </c>
      <c r="F246" s="21">
        <f t="shared" si="4"/>
        <v>0</v>
      </c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18">
        <f>'Solar Power Plant Data'!A247</f>
        <v>43040.20833</v>
      </c>
      <c r="B247" s="19">
        <f>'Solar Power Plant Data'!H247</f>
        <v>0</v>
      </c>
      <c r="C247" s="19">
        <f t="shared" si="1"/>
        <v>0</v>
      </c>
      <c r="D247" s="19">
        <f t="shared" si="2"/>
        <v>0</v>
      </c>
      <c r="E247" s="21">
        <f t="shared" si="3"/>
        <v>0</v>
      </c>
      <c r="F247" s="21">
        <f t="shared" si="4"/>
        <v>0</v>
      </c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18">
        <f>'Solar Power Plant Data'!A248</f>
        <v>43040.25</v>
      </c>
      <c r="B248" s="19">
        <f>'Solar Power Plant Data'!H248</f>
        <v>0</v>
      </c>
      <c r="C248" s="19">
        <f t="shared" si="1"/>
        <v>0</v>
      </c>
      <c r="D248" s="19">
        <f t="shared" si="2"/>
        <v>0</v>
      </c>
      <c r="E248" s="21">
        <f t="shared" si="3"/>
        <v>0</v>
      </c>
      <c r="F248" s="21">
        <f t="shared" si="4"/>
        <v>0</v>
      </c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18">
        <f>'Solar Power Plant Data'!A249</f>
        <v>43040.29167</v>
      </c>
      <c r="B249" s="19">
        <f>'Solar Power Plant Data'!H249</f>
        <v>0</v>
      </c>
      <c r="C249" s="19">
        <f t="shared" si="1"/>
        <v>0</v>
      </c>
      <c r="D249" s="19">
        <f t="shared" si="2"/>
        <v>0</v>
      </c>
      <c r="E249" s="21">
        <f t="shared" si="3"/>
        <v>0</v>
      </c>
      <c r="F249" s="21">
        <f t="shared" si="4"/>
        <v>0</v>
      </c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18">
        <f>'Solar Power Plant Data'!A250</f>
        <v>43040.33333</v>
      </c>
      <c r="B250" s="19">
        <f>'Solar Power Plant Data'!H250</f>
        <v>0</v>
      </c>
      <c r="C250" s="19">
        <f t="shared" si="1"/>
        <v>0</v>
      </c>
      <c r="D250" s="19">
        <f t="shared" si="2"/>
        <v>0</v>
      </c>
      <c r="E250" s="21">
        <f t="shared" si="3"/>
        <v>0</v>
      </c>
      <c r="F250" s="21">
        <f t="shared" si="4"/>
        <v>0</v>
      </c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18">
        <f>'Solar Power Plant Data'!A251</f>
        <v>43040.375</v>
      </c>
      <c r="B251" s="19">
        <f>'Solar Power Plant Data'!H251</f>
        <v>0</v>
      </c>
      <c r="C251" s="19">
        <f t="shared" si="1"/>
        <v>0</v>
      </c>
      <c r="D251" s="19">
        <f t="shared" si="2"/>
        <v>0</v>
      </c>
      <c r="E251" s="21">
        <f t="shared" si="3"/>
        <v>0</v>
      </c>
      <c r="F251" s="21">
        <f t="shared" si="4"/>
        <v>0</v>
      </c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18">
        <f>'Solar Power Plant Data'!A252</f>
        <v>43040.41667</v>
      </c>
      <c r="B252" s="19">
        <f>'Solar Power Plant Data'!H252</f>
        <v>0</v>
      </c>
      <c r="C252" s="19">
        <f t="shared" si="1"/>
        <v>0</v>
      </c>
      <c r="D252" s="19">
        <f t="shared" si="2"/>
        <v>0</v>
      </c>
      <c r="E252" s="21">
        <f t="shared" si="3"/>
        <v>0</v>
      </c>
      <c r="F252" s="21">
        <f t="shared" si="4"/>
        <v>0</v>
      </c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18">
        <f>'Solar Power Plant Data'!A253</f>
        <v>43040.45833</v>
      </c>
      <c r="B253" s="19">
        <f>'Solar Power Plant Data'!H253</f>
        <v>0</v>
      </c>
      <c r="C253" s="19">
        <f t="shared" si="1"/>
        <v>6604999</v>
      </c>
      <c r="D253" s="19">
        <f t="shared" si="2"/>
        <v>-6604999</v>
      </c>
      <c r="E253" s="21">
        <f t="shared" si="3"/>
        <v>6604999</v>
      </c>
      <c r="F253" s="21">
        <f t="shared" si="4"/>
        <v>43626011790001</v>
      </c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18">
        <f>'Solar Power Plant Data'!A254</f>
        <v>43040.5</v>
      </c>
      <c r="B254" s="19">
        <f>'Solar Power Plant Data'!H254</f>
        <v>0</v>
      </c>
      <c r="C254" s="19">
        <f t="shared" si="1"/>
        <v>3971667</v>
      </c>
      <c r="D254" s="19">
        <f t="shared" si="2"/>
        <v>-3971667</v>
      </c>
      <c r="E254" s="21">
        <f t="shared" si="3"/>
        <v>3971667</v>
      </c>
      <c r="F254" s="21">
        <f t="shared" si="4"/>
        <v>15774138758889</v>
      </c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18">
        <f>'Solar Power Plant Data'!A255</f>
        <v>43040.54167</v>
      </c>
      <c r="B255" s="19">
        <f>'Solar Power Plant Data'!H255</f>
        <v>66</v>
      </c>
      <c r="C255" s="19">
        <f t="shared" si="1"/>
        <v>2961667</v>
      </c>
      <c r="D255" s="19">
        <f t="shared" si="2"/>
        <v>-2961601</v>
      </c>
      <c r="E255" s="21">
        <f t="shared" si="3"/>
        <v>2961601</v>
      </c>
      <c r="F255" s="21">
        <f t="shared" si="4"/>
        <v>8771080483201</v>
      </c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18">
        <f>'Solar Power Plant Data'!A256</f>
        <v>43040.58333</v>
      </c>
      <c r="B256" s="19">
        <f>'Solar Power Plant Data'!H256</f>
        <v>1783334</v>
      </c>
      <c r="C256" s="19">
        <f t="shared" si="1"/>
        <v>1626667</v>
      </c>
      <c r="D256" s="19">
        <f t="shared" si="2"/>
        <v>156667</v>
      </c>
      <c r="E256" s="21">
        <f t="shared" si="3"/>
        <v>156667</v>
      </c>
      <c r="F256" s="21">
        <f t="shared" si="4"/>
        <v>24544548889</v>
      </c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18">
        <f>'Solar Power Plant Data'!A257</f>
        <v>43040.625</v>
      </c>
      <c r="B257" s="19">
        <f>'Solar Power Plant Data'!H257</f>
        <v>0</v>
      </c>
      <c r="C257" s="19">
        <f t="shared" si="1"/>
        <v>12</v>
      </c>
      <c r="D257" s="19">
        <f t="shared" si="2"/>
        <v>-12</v>
      </c>
      <c r="E257" s="21">
        <f t="shared" si="3"/>
        <v>12</v>
      </c>
      <c r="F257" s="21">
        <f t="shared" si="4"/>
        <v>144</v>
      </c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18">
        <f>'Solar Power Plant Data'!A258</f>
        <v>43040.66667</v>
      </c>
      <c r="B258" s="19">
        <f>'Solar Power Plant Data'!H258</f>
        <v>0</v>
      </c>
      <c r="C258" s="19">
        <f t="shared" si="1"/>
        <v>0</v>
      </c>
      <c r="D258" s="19">
        <f t="shared" si="2"/>
        <v>0</v>
      </c>
      <c r="E258" s="21">
        <f t="shared" si="3"/>
        <v>0</v>
      </c>
      <c r="F258" s="21">
        <f t="shared" si="4"/>
        <v>0</v>
      </c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18">
        <f>'Solar Power Plant Data'!A259</f>
        <v>43040.70833</v>
      </c>
      <c r="B259" s="19">
        <f>'Solar Power Plant Data'!H259</f>
        <v>0</v>
      </c>
      <c r="C259" s="19">
        <f t="shared" si="1"/>
        <v>0</v>
      </c>
      <c r="D259" s="19">
        <f t="shared" si="2"/>
        <v>0</v>
      </c>
      <c r="E259" s="21">
        <f t="shared" si="3"/>
        <v>0</v>
      </c>
      <c r="F259" s="21">
        <f t="shared" si="4"/>
        <v>0</v>
      </c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18">
        <f>'Solar Power Plant Data'!A260</f>
        <v>43040.75</v>
      </c>
      <c r="B260" s="19">
        <f>'Solar Power Plant Data'!H260</f>
        <v>0</v>
      </c>
      <c r="C260" s="19">
        <f t="shared" si="1"/>
        <v>0</v>
      </c>
      <c r="D260" s="19">
        <f t="shared" si="2"/>
        <v>0</v>
      </c>
      <c r="E260" s="21">
        <f t="shared" si="3"/>
        <v>0</v>
      </c>
      <c r="F260" s="21">
        <f t="shared" si="4"/>
        <v>0</v>
      </c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18">
        <f>'Solar Power Plant Data'!A261</f>
        <v>43040.79167</v>
      </c>
      <c r="B261" s="19">
        <f>'Solar Power Plant Data'!H261</f>
        <v>0</v>
      </c>
      <c r="C261" s="19">
        <f t="shared" si="1"/>
        <v>0</v>
      </c>
      <c r="D261" s="19">
        <f t="shared" si="2"/>
        <v>0</v>
      </c>
      <c r="E261" s="21">
        <f t="shared" si="3"/>
        <v>0</v>
      </c>
      <c r="F261" s="21">
        <f t="shared" si="4"/>
        <v>0</v>
      </c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18">
        <f>'Solar Power Plant Data'!A262</f>
        <v>43040.83333</v>
      </c>
      <c r="B262" s="19">
        <f>'Solar Power Plant Data'!H262</f>
        <v>0</v>
      </c>
      <c r="C262" s="19">
        <f t="shared" si="1"/>
        <v>0</v>
      </c>
      <c r="D262" s="19">
        <f t="shared" si="2"/>
        <v>0</v>
      </c>
      <c r="E262" s="21">
        <f t="shared" si="3"/>
        <v>0</v>
      </c>
      <c r="F262" s="21">
        <f t="shared" si="4"/>
        <v>0</v>
      </c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18">
        <f>'Solar Power Plant Data'!A263</f>
        <v>43040.875</v>
      </c>
      <c r="B263" s="19">
        <f>'Solar Power Plant Data'!H263</f>
        <v>0</v>
      </c>
      <c r="C263" s="19">
        <f t="shared" si="1"/>
        <v>0</v>
      </c>
      <c r="D263" s="19">
        <f t="shared" si="2"/>
        <v>0</v>
      </c>
      <c r="E263" s="21">
        <f t="shared" si="3"/>
        <v>0</v>
      </c>
      <c r="F263" s="21">
        <f t="shared" si="4"/>
        <v>0</v>
      </c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18">
        <f>'Solar Power Plant Data'!A264</f>
        <v>43040.91667</v>
      </c>
      <c r="B264" s="19">
        <f>'Solar Power Plant Data'!H264</f>
        <v>0</v>
      </c>
      <c r="C264" s="19">
        <f t="shared" si="1"/>
        <v>0</v>
      </c>
      <c r="D264" s="19">
        <f t="shared" si="2"/>
        <v>0</v>
      </c>
      <c r="E264" s="21">
        <f t="shared" si="3"/>
        <v>0</v>
      </c>
      <c r="F264" s="21">
        <f t="shared" si="4"/>
        <v>0</v>
      </c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18">
        <f>'Solar Power Plant Data'!A265</f>
        <v>43040.95833</v>
      </c>
      <c r="B265" s="19">
        <f>'Solar Power Plant Data'!H265</f>
        <v>0</v>
      </c>
      <c r="C265" s="19">
        <f t="shared" si="1"/>
        <v>0</v>
      </c>
      <c r="D265" s="19">
        <f t="shared" si="2"/>
        <v>0</v>
      </c>
      <c r="E265" s="21">
        <f t="shared" si="3"/>
        <v>0</v>
      </c>
      <c r="F265" s="21">
        <f t="shared" si="4"/>
        <v>0</v>
      </c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18">
        <f>'Solar Power Plant Data'!A266</f>
        <v>43070</v>
      </c>
      <c r="B266" s="19">
        <f>'Solar Power Plant Data'!H266</f>
        <v>0</v>
      </c>
      <c r="C266" s="19">
        <f t="shared" si="1"/>
        <v>0</v>
      </c>
      <c r="D266" s="19">
        <f t="shared" si="2"/>
        <v>0</v>
      </c>
      <c r="E266" s="21">
        <f t="shared" si="3"/>
        <v>0</v>
      </c>
      <c r="F266" s="21">
        <f t="shared" si="4"/>
        <v>0</v>
      </c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18">
        <f>'Solar Power Plant Data'!A267</f>
        <v>43070.04167</v>
      </c>
      <c r="B267" s="19">
        <f>'Solar Power Plant Data'!H267</f>
        <v>0</v>
      </c>
      <c r="C267" s="19">
        <f t="shared" si="1"/>
        <v>0</v>
      </c>
      <c r="D267" s="19">
        <f t="shared" si="2"/>
        <v>0</v>
      </c>
      <c r="E267" s="21">
        <f t="shared" si="3"/>
        <v>0</v>
      </c>
      <c r="F267" s="21">
        <f t="shared" si="4"/>
        <v>0</v>
      </c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18">
        <f>'Solar Power Plant Data'!A268</f>
        <v>43070.08333</v>
      </c>
      <c r="B268" s="19">
        <f>'Solar Power Plant Data'!H268</f>
        <v>0</v>
      </c>
      <c r="C268" s="19">
        <f t="shared" si="1"/>
        <v>0</v>
      </c>
      <c r="D268" s="19">
        <f t="shared" si="2"/>
        <v>0</v>
      </c>
      <c r="E268" s="21">
        <f t="shared" si="3"/>
        <v>0</v>
      </c>
      <c r="F268" s="21">
        <f t="shared" si="4"/>
        <v>0</v>
      </c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18">
        <f>'Solar Power Plant Data'!A269</f>
        <v>43070.125</v>
      </c>
      <c r="B269" s="19">
        <f>'Solar Power Plant Data'!H269</f>
        <v>0</v>
      </c>
      <c r="C269" s="19">
        <f t="shared" si="1"/>
        <v>0</v>
      </c>
      <c r="D269" s="19">
        <f t="shared" si="2"/>
        <v>0</v>
      </c>
      <c r="E269" s="21">
        <f t="shared" si="3"/>
        <v>0</v>
      </c>
      <c r="F269" s="21">
        <f t="shared" si="4"/>
        <v>0</v>
      </c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18">
        <f>'Solar Power Plant Data'!A270</f>
        <v>43070.16667</v>
      </c>
      <c r="B270" s="19">
        <f>'Solar Power Plant Data'!H270</f>
        <v>0</v>
      </c>
      <c r="C270" s="19">
        <f t="shared" si="1"/>
        <v>0</v>
      </c>
      <c r="D270" s="19">
        <f t="shared" si="2"/>
        <v>0</v>
      </c>
      <c r="E270" s="21">
        <f t="shared" si="3"/>
        <v>0</v>
      </c>
      <c r="F270" s="21">
        <f t="shared" si="4"/>
        <v>0</v>
      </c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18">
        <f>'Solar Power Plant Data'!A271</f>
        <v>43070.20833</v>
      </c>
      <c r="B271" s="19">
        <f>'Solar Power Plant Data'!H271</f>
        <v>0</v>
      </c>
      <c r="C271" s="19">
        <f t="shared" si="1"/>
        <v>0</v>
      </c>
      <c r="D271" s="19">
        <f t="shared" si="2"/>
        <v>0</v>
      </c>
      <c r="E271" s="21">
        <f t="shared" si="3"/>
        <v>0</v>
      </c>
      <c r="F271" s="21">
        <f t="shared" si="4"/>
        <v>0</v>
      </c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18">
        <f>'Solar Power Plant Data'!A272</f>
        <v>43070.25</v>
      </c>
      <c r="B272" s="19">
        <f>'Solar Power Plant Data'!H272</f>
        <v>0</v>
      </c>
      <c r="C272" s="19">
        <f t="shared" si="1"/>
        <v>0</v>
      </c>
      <c r="D272" s="19">
        <f t="shared" si="2"/>
        <v>0</v>
      </c>
      <c r="E272" s="21">
        <f t="shared" si="3"/>
        <v>0</v>
      </c>
      <c r="F272" s="21">
        <f t="shared" si="4"/>
        <v>0</v>
      </c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18">
        <f>'Solar Power Plant Data'!A273</f>
        <v>43070.29167</v>
      </c>
      <c r="B273" s="19">
        <f>'Solar Power Plant Data'!H273</f>
        <v>0</v>
      </c>
      <c r="C273" s="19">
        <f t="shared" si="1"/>
        <v>0</v>
      </c>
      <c r="D273" s="19">
        <f t="shared" si="2"/>
        <v>0</v>
      </c>
      <c r="E273" s="21">
        <f t="shared" si="3"/>
        <v>0</v>
      </c>
      <c r="F273" s="21">
        <f t="shared" si="4"/>
        <v>0</v>
      </c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18">
        <f>'Solar Power Plant Data'!A274</f>
        <v>43070.33333</v>
      </c>
      <c r="B274" s="19">
        <f>'Solar Power Plant Data'!H274</f>
        <v>0</v>
      </c>
      <c r="C274" s="19">
        <f t="shared" si="1"/>
        <v>0</v>
      </c>
      <c r="D274" s="19">
        <f t="shared" si="2"/>
        <v>0</v>
      </c>
      <c r="E274" s="21">
        <f t="shared" si="3"/>
        <v>0</v>
      </c>
      <c r="F274" s="21">
        <f t="shared" si="4"/>
        <v>0</v>
      </c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18">
        <f>'Solar Power Plant Data'!A275</f>
        <v>43070.375</v>
      </c>
      <c r="B275" s="19">
        <f>'Solar Power Plant Data'!H275</f>
        <v>0</v>
      </c>
      <c r="C275" s="19">
        <f t="shared" si="1"/>
        <v>0</v>
      </c>
      <c r="D275" s="19">
        <f t="shared" si="2"/>
        <v>0</v>
      </c>
      <c r="E275" s="21">
        <f t="shared" si="3"/>
        <v>0</v>
      </c>
      <c r="F275" s="21">
        <f t="shared" si="4"/>
        <v>0</v>
      </c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18">
        <f>'Solar Power Plant Data'!A276</f>
        <v>43070.41667</v>
      </c>
      <c r="B276" s="19">
        <f>'Solar Power Plant Data'!H276</f>
        <v>0</v>
      </c>
      <c r="C276" s="19">
        <f t="shared" si="1"/>
        <v>0</v>
      </c>
      <c r="D276" s="19">
        <f t="shared" si="2"/>
        <v>0</v>
      </c>
      <c r="E276" s="21">
        <f t="shared" si="3"/>
        <v>0</v>
      </c>
      <c r="F276" s="21">
        <f t="shared" si="4"/>
        <v>0</v>
      </c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18">
        <f>'Solar Power Plant Data'!A277</f>
        <v>43070.45833</v>
      </c>
      <c r="B277" s="19">
        <f>'Solar Power Plant Data'!H277</f>
        <v>113</v>
      </c>
      <c r="C277" s="19">
        <f t="shared" si="1"/>
        <v>0</v>
      </c>
      <c r="D277" s="19">
        <f t="shared" si="2"/>
        <v>113</v>
      </c>
      <c r="E277" s="21">
        <f t="shared" si="3"/>
        <v>113</v>
      </c>
      <c r="F277" s="21">
        <f t="shared" si="4"/>
        <v>12769</v>
      </c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18">
        <f>'Solar Power Plant Data'!A278</f>
        <v>43070.5</v>
      </c>
      <c r="B278" s="19">
        <f>'Solar Power Plant Data'!H278</f>
        <v>368</v>
      </c>
      <c r="C278" s="19">
        <f t="shared" si="1"/>
        <v>0</v>
      </c>
      <c r="D278" s="19">
        <f t="shared" si="2"/>
        <v>368</v>
      </c>
      <c r="E278" s="21">
        <f t="shared" si="3"/>
        <v>368</v>
      </c>
      <c r="F278" s="21">
        <f t="shared" si="4"/>
        <v>135424</v>
      </c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18">
        <f>'Solar Power Plant Data'!A279</f>
        <v>43070.54167</v>
      </c>
      <c r="B279" s="19">
        <f>'Solar Power Plant Data'!H279</f>
        <v>429</v>
      </c>
      <c r="C279" s="19">
        <f t="shared" si="1"/>
        <v>66</v>
      </c>
      <c r="D279" s="19">
        <f t="shared" si="2"/>
        <v>363</v>
      </c>
      <c r="E279" s="21">
        <f t="shared" si="3"/>
        <v>363</v>
      </c>
      <c r="F279" s="21">
        <f t="shared" si="4"/>
        <v>131769</v>
      </c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18">
        <f>'Solar Power Plant Data'!A280</f>
        <v>43070.58333</v>
      </c>
      <c r="B280" s="19">
        <f>'Solar Power Plant Data'!H280</f>
        <v>4143333</v>
      </c>
      <c r="C280" s="19">
        <f t="shared" si="1"/>
        <v>1783334</v>
      </c>
      <c r="D280" s="19">
        <f t="shared" si="2"/>
        <v>2359999</v>
      </c>
      <c r="E280" s="21">
        <f t="shared" si="3"/>
        <v>2359999</v>
      </c>
      <c r="F280" s="21">
        <f t="shared" si="4"/>
        <v>5569595280001</v>
      </c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18">
        <f>'Solar Power Plant Data'!A281</f>
        <v>43070.625</v>
      </c>
      <c r="B281" s="19">
        <f>'Solar Power Plant Data'!H281</f>
        <v>388333</v>
      </c>
      <c r="C281" s="19">
        <f t="shared" si="1"/>
        <v>0</v>
      </c>
      <c r="D281" s="19">
        <f t="shared" si="2"/>
        <v>388333</v>
      </c>
      <c r="E281" s="21">
        <f t="shared" si="3"/>
        <v>388333</v>
      </c>
      <c r="F281" s="21">
        <f t="shared" si="4"/>
        <v>150802518889</v>
      </c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18">
        <f>'Solar Power Plant Data'!A282</f>
        <v>43070.66667</v>
      </c>
      <c r="B282" s="19">
        <f>'Solar Power Plant Data'!H282</f>
        <v>0</v>
      </c>
      <c r="C282" s="19">
        <f t="shared" si="1"/>
        <v>0</v>
      </c>
      <c r="D282" s="19">
        <f t="shared" si="2"/>
        <v>0</v>
      </c>
      <c r="E282" s="21">
        <f t="shared" si="3"/>
        <v>0</v>
      </c>
      <c r="F282" s="21">
        <f t="shared" si="4"/>
        <v>0</v>
      </c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18">
        <f>'Solar Power Plant Data'!A283</f>
        <v>43070.70833</v>
      </c>
      <c r="B283" s="19">
        <f>'Solar Power Plant Data'!H283</f>
        <v>0</v>
      </c>
      <c r="C283" s="19">
        <f t="shared" si="1"/>
        <v>0</v>
      </c>
      <c r="D283" s="19">
        <f t="shared" si="2"/>
        <v>0</v>
      </c>
      <c r="E283" s="21">
        <f t="shared" si="3"/>
        <v>0</v>
      </c>
      <c r="F283" s="21">
        <f t="shared" si="4"/>
        <v>0</v>
      </c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18">
        <f>'Solar Power Plant Data'!A284</f>
        <v>43070.75</v>
      </c>
      <c r="B284" s="19">
        <f>'Solar Power Plant Data'!H284</f>
        <v>0</v>
      </c>
      <c r="C284" s="19">
        <f t="shared" si="1"/>
        <v>0</v>
      </c>
      <c r="D284" s="19">
        <f t="shared" si="2"/>
        <v>0</v>
      </c>
      <c r="E284" s="21">
        <f t="shared" si="3"/>
        <v>0</v>
      </c>
      <c r="F284" s="21">
        <f t="shared" si="4"/>
        <v>0</v>
      </c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18">
        <f>'Solar Power Plant Data'!A285</f>
        <v>43070.79167</v>
      </c>
      <c r="B285" s="19">
        <f>'Solar Power Plant Data'!H285</f>
        <v>0</v>
      </c>
      <c r="C285" s="19">
        <f t="shared" si="1"/>
        <v>0</v>
      </c>
      <c r="D285" s="19">
        <f t="shared" si="2"/>
        <v>0</v>
      </c>
      <c r="E285" s="21">
        <f t="shared" si="3"/>
        <v>0</v>
      </c>
      <c r="F285" s="21">
        <f t="shared" si="4"/>
        <v>0</v>
      </c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18">
        <f>'Solar Power Plant Data'!A286</f>
        <v>43070.83333</v>
      </c>
      <c r="B286" s="19">
        <f>'Solar Power Plant Data'!H286</f>
        <v>0</v>
      </c>
      <c r="C286" s="19">
        <f t="shared" si="1"/>
        <v>0</v>
      </c>
      <c r="D286" s="19">
        <f t="shared" si="2"/>
        <v>0</v>
      </c>
      <c r="E286" s="21">
        <f t="shared" si="3"/>
        <v>0</v>
      </c>
      <c r="F286" s="21">
        <f t="shared" si="4"/>
        <v>0</v>
      </c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18">
        <f>'Solar Power Plant Data'!A287</f>
        <v>43070.875</v>
      </c>
      <c r="B287" s="19">
        <f>'Solar Power Plant Data'!H287</f>
        <v>0</v>
      </c>
      <c r="C287" s="19">
        <f t="shared" si="1"/>
        <v>0</v>
      </c>
      <c r="D287" s="19">
        <f t="shared" si="2"/>
        <v>0</v>
      </c>
      <c r="E287" s="21">
        <f t="shared" si="3"/>
        <v>0</v>
      </c>
      <c r="F287" s="21">
        <f t="shared" si="4"/>
        <v>0</v>
      </c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18">
        <f>'Solar Power Plant Data'!A288</f>
        <v>43070.91667</v>
      </c>
      <c r="B288" s="19">
        <f>'Solar Power Plant Data'!H288</f>
        <v>0</v>
      </c>
      <c r="C288" s="19">
        <f t="shared" si="1"/>
        <v>0</v>
      </c>
      <c r="D288" s="19">
        <f t="shared" si="2"/>
        <v>0</v>
      </c>
      <c r="E288" s="21">
        <f t="shared" si="3"/>
        <v>0</v>
      </c>
      <c r="F288" s="21">
        <f t="shared" si="4"/>
        <v>0</v>
      </c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18">
        <f>'Solar Power Plant Data'!A289</f>
        <v>43070.95833</v>
      </c>
      <c r="B289" s="19">
        <f>'Solar Power Plant Data'!H289</f>
        <v>0</v>
      </c>
      <c r="C289" s="19">
        <f t="shared" si="1"/>
        <v>0</v>
      </c>
      <c r="D289" s="19">
        <f t="shared" si="2"/>
        <v>0</v>
      </c>
      <c r="E289" s="21">
        <f t="shared" si="3"/>
        <v>0</v>
      </c>
      <c r="F289" s="21">
        <f t="shared" si="4"/>
        <v>0</v>
      </c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3">
        <f>'Solar Power Plant Data'!A290</f>
        <v>42748</v>
      </c>
      <c r="B290" s="19">
        <f>'Solar Power Plant Data'!H290</f>
        <v>0</v>
      </c>
      <c r="C290" s="19">
        <f t="shared" si="1"/>
        <v>0</v>
      </c>
      <c r="D290" s="19">
        <f t="shared" si="2"/>
        <v>0</v>
      </c>
      <c r="E290" s="21">
        <f t="shared" si="3"/>
        <v>0</v>
      </c>
      <c r="F290" s="21">
        <f t="shared" si="4"/>
        <v>0</v>
      </c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3">
        <f>'Solar Power Plant Data'!A291</f>
        <v>42748.04167</v>
      </c>
      <c r="B291" s="19">
        <f>'Solar Power Plant Data'!H291</f>
        <v>0</v>
      </c>
      <c r="C291" s="19">
        <f t="shared" si="1"/>
        <v>0</v>
      </c>
      <c r="D291" s="19">
        <f t="shared" si="2"/>
        <v>0</v>
      </c>
      <c r="E291" s="21">
        <f t="shared" si="3"/>
        <v>0</v>
      </c>
      <c r="F291" s="21">
        <f t="shared" si="4"/>
        <v>0</v>
      </c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3">
        <f>'Solar Power Plant Data'!A292</f>
        <v>42748.08333</v>
      </c>
      <c r="B292" s="19">
        <f>'Solar Power Plant Data'!H292</f>
        <v>0</v>
      </c>
      <c r="C292" s="19">
        <f t="shared" si="1"/>
        <v>0</v>
      </c>
      <c r="D292" s="19">
        <f t="shared" si="2"/>
        <v>0</v>
      </c>
      <c r="E292" s="21">
        <f t="shared" si="3"/>
        <v>0</v>
      </c>
      <c r="F292" s="21">
        <f t="shared" si="4"/>
        <v>0</v>
      </c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3">
        <f>'Solar Power Plant Data'!A293</f>
        <v>42749.08333</v>
      </c>
      <c r="B293" s="19">
        <f>'Solar Power Plant Data'!H293</f>
        <v>0</v>
      </c>
      <c r="C293" s="19">
        <f t="shared" si="1"/>
        <v>0</v>
      </c>
      <c r="D293" s="19">
        <f t="shared" si="2"/>
        <v>0</v>
      </c>
      <c r="E293" s="21">
        <f t="shared" si="3"/>
        <v>0</v>
      </c>
      <c r="F293" s="21">
        <f t="shared" si="4"/>
        <v>0</v>
      </c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3">
        <f>'Solar Power Plant Data'!A294</f>
        <v>42750.08333</v>
      </c>
      <c r="B294" s="19">
        <f>'Solar Power Plant Data'!H294</f>
        <v>0</v>
      </c>
      <c r="C294" s="19">
        <f t="shared" si="1"/>
        <v>0</v>
      </c>
      <c r="D294" s="19">
        <f t="shared" si="2"/>
        <v>0</v>
      </c>
      <c r="E294" s="21">
        <f t="shared" si="3"/>
        <v>0</v>
      </c>
      <c r="F294" s="21">
        <f t="shared" si="4"/>
        <v>0</v>
      </c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3">
        <f>'Solar Power Plant Data'!A295</f>
        <v>42751.08333</v>
      </c>
      <c r="B295" s="19">
        <f>'Solar Power Plant Data'!H295</f>
        <v>0</v>
      </c>
      <c r="C295" s="19">
        <f t="shared" si="1"/>
        <v>0</v>
      </c>
      <c r="D295" s="19">
        <f t="shared" si="2"/>
        <v>0</v>
      </c>
      <c r="E295" s="21">
        <f t="shared" si="3"/>
        <v>0</v>
      </c>
      <c r="F295" s="21">
        <f t="shared" si="4"/>
        <v>0</v>
      </c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3">
        <f>'Solar Power Plant Data'!A296</f>
        <v>42752.08333</v>
      </c>
      <c r="B296" s="19">
        <f>'Solar Power Plant Data'!H296</f>
        <v>0</v>
      </c>
      <c r="C296" s="19">
        <f t="shared" si="1"/>
        <v>0</v>
      </c>
      <c r="D296" s="19">
        <f t="shared" si="2"/>
        <v>0</v>
      </c>
      <c r="E296" s="21">
        <f t="shared" si="3"/>
        <v>0</v>
      </c>
      <c r="F296" s="21">
        <f t="shared" si="4"/>
        <v>0</v>
      </c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3">
        <f>'Solar Power Plant Data'!A297</f>
        <v>42753.08333</v>
      </c>
      <c r="B297" s="19">
        <f>'Solar Power Plant Data'!H297</f>
        <v>0</v>
      </c>
      <c r="C297" s="19">
        <f t="shared" si="1"/>
        <v>0</v>
      </c>
      <c r="D297" s="19">
        <f t="shared" si="2"/>
        <v>0</v>
      </c>
      <c r="E297" s="21">
        <f t="shared" si="3"/>
        <v>0</v>
      </c>
      <c r="F297" s="21">
        <f t="shared" si="4"/>
        <v>0</v>
      </c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3">
        <f>'Solar Power Plant Data'!A298</f>
        <v>42754.08333</v>
      </c>
      <c r="B298" s="19">
        <f>'Solar Power Plant Data'!H298</f>
        <v>0</v>
      </c>
      <c r="C298" s="19">
        <f t="shared" si="1"/>
        <v>0</v>
      </c>
      <c r="D298" s="19">
        <f t="shared" si="2"/>
        <v>0</v>
      </c>
      <c r="E298" s="21">
        <f t="shared" si="3"/>
        <v>0</v>
      </c>
      <c r="F298" s="21">
        <f t="shared" si="4"/>
        <v>0</v>
      </c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3">
        <f>'Solar Power Plant Data'!A299</f>
        <v>42755.08333</v>
      </c>
      <c r="B299" s="19">
        <f>'Solar Power Plant Data'!H299</f>
        <v>0</v>
      </c>
      <c r="C299" s="19">
        <f t="shared" si="1"/>
        <v>0</v>
      </c>
      <c r="D299" s="19">
        <f t="shared" si="2"/>
        <v>0</v>
      </c>
      <c r="E299" s="21">
        <f t="shared" si="3"/>
        <v>0</v>
      </c>
      <c r="F299" s="21">
        <f t="shared" si="4"/>
        <v>0</v>
      </c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3">
        <f>'Solar Power Plant Data'!A300</f>
        <v>42756.08333</v>
      </c>
      <c r="B300" s="19">
        <f>'Solar Power Plant Data'!H300</f>
        <v>0</v>
      </c>
      <c r="C300" s="19">
        <f t="shared" si="1"/>
        <v>0</v>
      </c>
      <c r="D300" s="19">
        <f t="shared" si="2"/>
        <v>0</v>
      </c>
      <c r="E300" s="21">
        <f t="shared" si="3"/>
        <v>0</v>
      </c>
      <c r="F300" s="21">
        <f t="shared" si="4"/>
        <v>0</v>
      </c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3">
        <f>'Solar Power Plant Data'!A301</f>
        <v>42757.08333</v>
      </c>
      <c r="B301" s="19">
        <f>'Solar Power Plant Data'!H301</f>
        <v>1945001</v>
      </c>
      <c r="C301" s="19">
        <f t="shared" si="1"/>
        <v>113</v>
      </c>
      <c r="D301" s="19">
        <f t="shared" si="2"/>
        <v>1944888</v>
      </c>
      <c r="E301" s="21">
        <f t="shared" si="3"/>
        <v>1944888</v>
      </c>
      <c r="F301" s="21">
        <f t="shared" si="4"/>
        <v>3782589332544</v>
      </c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3">
        <f>'Solar Power Plant Data'!A302</f>
        <v>42758.08333</v>
      </c>
      <c r="B302" s="19">
        <f>'Solar Power Plant Data'!H302</f>
        <v>13426666</v>
      </c>
      <c r="C302" s="19">
        <f t="shared" si="1"/>
        <v>368</v>
      </c>
      <c r="D302" s="19">
        <f t="shared" si="2"/>
        <v>13426298</v>
      </c>
      <c r="E302" s="21">
        <f t="shared" si="3"/>
        <v>13426298</v>
      </c>
      <c r="F302" s="21">
        <f t="shared" si="4"/>
        <v>180265477984804</v>
      </c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3">
        <f>'Solar Power Plant Data'!A303</f>
        <v>42759.08333</v>
      </c>
      <c r="B303" s="19">
        <f>'Solar Power Plant Data'!H303</f>
        <v>10441666</v>
      </c>
      <c r="C303" s="19">
        <f t="shared" si="1"/>
        <v>429</v>
      </c>
      <c r="D303" s="19">
        <f t="shared" si="2"/>
        <v>10441237</v>
      </c>
      <c r="E303" s="21">
        <f t="shared" si="3"/>
        <v>10441237</v>
      </c>
      <c r="F303" s="21">
        <f t="shared" si="4"/>
        <v>109019430090169</v>
      </c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3">
        <f>'Solar Power Plant Data'!A304</f>
        <v>42760.08333</v>
      </c>
      <c r="B304" s="19">
        <f>'Solar Power Plant Data'!H304</f>
        <v>1923333</v>
      </c>
      <c r="C304" s="19">
        <f t="shared" si="1"/>
        <v>4143333</v>
      </c>
      <c r="D304" s="19">
        <f t="shared" si="2"/>
        <v>-2220000</v>
      </c>
      <c r="E304" s="21">
        <f t="shared" si="3"/>
        <v>2220000</v>
      </c>
      <c r="F304" s="21">
        <f t="shared" si="4"/>
        <v>4928400000000</v>
      </c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3">
        <f>'Solar Power Plant Data'!A305</f>
        <v>42761.08333</v>
      </c>
      <c r="B305" s="19">
        <f>'Solar Power Plant Data'!H305</f>
        <v>1109999</v>
      </c>
      <c r="C305" s="19">
        <f t="shared" si="1"/>
        <v>388333</v>
      </c>
      <c r="D305" s="19">
        <f t="shared" si="2"/>
        <v>721666</v>
      </c>
      <c r="E305" s="21">
        <f t="shared" si="3"/>
        <v>721666</v>
      </c>
      <c r="F305" s="21">
        <f t="shared" si="4"/>
        <v>520801815556</v>
      </c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3">
        <f>'Solar Power Plant Data'!A306</f>
        <v>42762.08333</v>
      </c>
      <c r="B306" s="19">
        <f>'Solar Power Plant Data'!H306</f>
        <v>0</v>
      </c>
      <c r="C306" s="19">
        <f t="shared" si="1"/>
        <v>0</v>
      </c>
      <c r="D306" s="19">
        <f t="shared" si="2"/>
        <v>0</v>
      </c>
      <c r="E306" s="21">
        <f t="shared" si="3"/>
        <v>0</v>
      </c>
      <c r="F306" s="21">
        <f t="shared" si="4"/>
        <v>0</v>
      </c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3">
        <f>'Solar Power Plant Data'!A307</f>
        <v>42763.08333</v>
      </c>
      <c r="B307" s="19">
        <f>'Solar Power Plant Data'!H307</f>
        <v>0</v>
      </c>
      <c r="C307" s="19">
        <f t="shared" si="1"/>
        <v>0</v>
      </c>
      <c r="D307" s="19">
        <f t="shared" si="2"/>
        <v>0</v>
      </c>
      <c r="E307" s="21">
        <f t="shared" si="3"/>
        <v>0</v>
      </c>
      <c r="F307" s="21">
        <f t="shared" si="4"/>
        <v>0</v>
      </c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3">
        <f>'Solar Power Plant Data'!A308</f>
        <v>42764.08333</v>
      </c>
      <c r="B308" s="19">
        <f>'Solar Power Plant Data'!H308</f>
        <v>0</v>
      </c>
      <c r="C308" s="19">
        <f t="shared" si="1"/>
        <v>0</v>
      </c>
      <c r="D308" s="19">
        <f t="shared" si="2"/>
        <v>0</v>
      </c>
      <c r="E308" s="21">
        <f t="shared" si="3"/>
        <v>0</v>
      </c>
      <c r="F308" s="21">
        <f t="shared" si="4"/>
        <v>0</v>
      </c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3">
        <f>'Solar Power Plant Data'!A309</f>
        <v>42765.08333</v>
      </c>
      <c r="B309" s="19">
        <f>'Solar Power Plant Data'!H309</f>
        <v>0</v>
      </c>
      <c r="C309" s="19">
        <f t="shared" si="1"/>
        <v>0</v>
      </c>
      <c r="D309" s="19">
        <f t="shared" si="2"/>
        <v>0</v>
      </c>
      <c r="E309" s="21">
        <f t="shared" si="3"/>
        <v>0</v>
      </c>
      <c r="F309" s="21">
        <f t="shared" si="4"/>
        <v>0</v>
      </c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3">
        <f>'Solar Power Plant Data'!A310</f>
        <v>42766.08333</v>
      </c>
      <c r="B310" s="19">
        <f>'Solar Power Plant Data'!H310</f>
        <v>0</v>
      </c>
      <c r="C310" s="19">
        <f t="shared" si="1"/>
        <v>0</v>
      </c>
      <c r="D310" s="19">
        <f t="shared" si="2"/>
        <v>0</v>
      </c>
      <c r="E310" s="21">
        <f t="shared" si="3"/>
        <v>0</v>
      </c>
      <c r="F310" s="21">
        <f t="shared" si="4"/>
        <v>0</v>
      </c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3">
        <f>'Solar Power Plant Data'!A311</f>
        <v>42767.08333</v>
      </c>
      <c r="B311" s="19">
        <f>'Solar Power Plant Data'!H311</f>
        <v>0</v>
      </c>
      <c r="C311" s="19">
        <f t="shared" si="1"/>
        <v>0</v>
      </c>
      <c r="D311" s="19">
        <f t="shared" si="2"/>
        <v>0</v>
      </c>
      <c r="E311" s="21">
        <f t="shared" si="3"/>
        <v>0</v>
      </c>
      <c r="F311" s="21">
        <f t="shared" si="4"/>
        <v>0</v>
      </c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3">
        <f>'Solar Power Plant Data'!A312</f>
        <v>42768.08333</v>
      </c>
      <c r="B312" s="19">
        <f>'Solar Power Plant Data'!H312</f>
        <v>0</v>
      </c>
      <c r="C312" s="19">
        <f t="shared" si="1"/>
        <v>0</v>
      </c>
      <c r="D312" s="19">
        <f t="shared" si="2"/>
        <v>0</v>
      </c>
      <c r="E312" s="21">
        <f t="shared" si="3"/>
        <v>0</v>
      </c>
      <c r="F312" s="21">
        <f t="shared" si="4"/>
        <v>0</v>
      </c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3">
        <f>'Solar Power Plant Data'!A313</f>
        <v>42769.08333</v>
      </c>
      <c r="B313" s="19">
        <f>'Solar Power Plant Data'!H313</f>
        <v>0</v>
      </c>
      <c r="C313" s="19">
        <f t="shared" si="1"/>
        <v>0</v>
      </c>
      <c r="D313" s="19">
        <f t="shared" si="2"/>
        <v>0</v>
      </c>
      <c r="E313" s="21">
        <f t="shared" si="3"/>
        <v>0</v>
      </c>
      <c r="F313" s="21">
        <f t="shared" si="4"/>
        <v>0</v>
      </c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3">
        <f>'Solar Power Plant Data'!A314</f>
        <v>42770.08333</v>
      </c>
      <c r="B314" s="19">
        <f>'Solar Power Plant Data'!H314</f>
        <v>0</v>
      </c>
      <c r="C314" s="19">
        <f t="shared" si="1"/>
        <v>0</v>
      </c>
      <c r="D314" s="19">
        <f t="shared" si="2"/>
        <v>0</v>
      </c>
      <c r="E314" s="21">
        <f t="shared" si="3"/>
        <v>0</v>
      </c>
      <c r="F314" s="21">
        <f t="shared" si="4"/>
        <v>0</v>
      </c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3">
        <f>'Solar Power Plant Data'!A315</f>
        <v>42771.08333</v>
      </c>
      <c r="B315" s="19">
        <f>'Solar Power Plant Data'!H315</f>
        <v>0</v>
      </c>
      <c r="C315" s="19">
        <f t="shared" si="1"/>
        <v>0</v>
      </c>
      <c r="D315" s="19">
        <f t="shared" si="2"/>
        <v>0</v>
      </c>
      <c r="E315" s="21">
        <f t="shared" si="3"/>
        <v>0</v>
      </c>
      <c r="F315" s="21">
        <f t="shared" si="4"/>
        <v>0</v>
      </c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3">
        <f>'Solar Power Plant Data'!A316</f>
        <v>42772.08333</v>
      </c>
      <c r="B316" s="19">
        <f>'Solar Power Plant Data'!H316</f>
        <v>0</v>
      </c>
      <c r="C316" s="19">
        <f t="shared" si="1"/>
        <v>0</v>
      </c>
      <c r="D316" s="19">
        <f t="shared" si="2"/>
        <v>0</v>
      </c>
      <c r="E316" s="21">
        <f t="shared" si="3"/>
        <v>0</v>
      </c>
      <c r="F316" s="21">
        <f t="shared" si="4"/>
        <v>0</v>
      </c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3">
        <f>'Solar Power Plant Data'!A317</f>
        <v>42773.08333</v>
      </c>
      <c r="B317" s="19">
        <f>'Solar Power Plant Data'!H317</f>
        <v>0</v>
      </c>
      <c r="C317" s="19">
        <f t="shared" si="1"/>
        <v>0</v>
      </c>
      <c r="D317" s="19">
        <f t="shared" si="2"/>
        <v>0</v>
      </c>
      <c r="E317" s="21">
        <f t="shared" si="3"/>
        <v>0</v>
      </c>
      <c r="F317" s="21">
        <f t="shared" si="4"/>
        <v>0</v>
      </c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3">
        <f>'Solar Power Plant Data'!A318</f>
        <v>42774.08333</v>
      </c>
      <c r="B318" s="19">
        <f>'Solar Power Plant Data'!H318</f>
        <v>0</v>
      </c>
      <c r="C318" s="19">
        <f t="shared" si="1"/>
        <v>0</v>
      </c>
      <c r="D318" s="19">
        <f t="shared" si="2"/>
        <v>0</v>
      </c>
      <c r="E318" s="21">
        <f t="shared" si="3"/>
        <v>0</v>
      </c>
      <c r="F318" s="21">
        <f t="shared" si="4"/>
        <v>0</v>
      </c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3">
        <f>'Solar Power Plant Data'!A319</f>
        <v>42775.08333</v>
      </c>
      <c r="B319" s="19">
        <f>'Solar Power Plant Data'!H319</f>
        <v>0</v>
      </c>
      <c r="C319" s="19">
        <f t="shared" si="1"/>
        <v>0</v>
      </c>
      <c r="D319" s="19">
        <f t="shared" si="2"/>
        <v>0</v>
      </c>
      <c r="E319" s="21">
        <f t="shared" si="3"/>
        <v>0</v>
      </c>
      <c r="F319" s="21">
        <f t="shared" si="4"/>
        <v>0</v>
      </c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3">
        <f>'Solar Power Plant Data'!A320</f>
        <v>42776.08333</v>
      </c>
      <c r="B320" s="19">
        <f>'Solar Power Plant Data'!H320</f>
        <v>0</v>
      </c>
      <c r="C320" s="19">
        <f t="shared" si="1"/>
        <v>0</v>
      </c>
      <c r="D320" s="19">
        <f t="shared" si="2"/>
        <v>0</v>
      </c>
      <c r="E320" s="21">
        <f t="shared" si="3"/>
        <v>0</v>
      </c>
      <c r="F320" s="21">
        <f t="shared" si="4"/>
        <v>0</v>
      </c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3">
        <f>'Solar Power Plant Data'!A321</f>
        <v>42777.08333</v>
      </c>
      <c r="B321" s="19">
        <f>'Solar Power Plant Data'!H321</f>
        <v>0</v>
      </c>
      <c r="C321" s="19">
        <f t="shared" si="1"/>
        <v>0</v>
      </c>
      <c r="D321" s="19">
        <f t="shared" si="2"/>
        <v>0</v>
      </c>
      <c r="E321" s="21">
        <f t="shared" si="3"/>
        <v>0</v>
      </c>
      <c r="F321" s="21">
        <f t="shared" si="4"/>
        <v>0</v>
      </c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3">
        <f>'Solar Power Plant Data'!A322</f>
        <v>42778.08333</v>
      </c>
      <c r="B322" s="19">
        <f>'Solar Power Plant Data'!H322</f>
        <v>0</v>
      </c>
      <c r="C322" s="19">
        <f t="shared" si="1"/>
        <v>0</v>
      </c>
      <c r="D322" s="19">
        <f t="shared" si="2"/>
        <v>0</v>
      </c>
      <c r="E322" s="21">
        <f t="shared" si="3"/>
        <v>0</v>
      </c>
      <c r="F322" s="21">
        <f t="shared" si="4"/>
        <v>0</v>
      </c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3">
        <f>'Solar Power Plant Data'!A323</f>
        <v>42779.08333</v>
      </c>
      <c r="B323" s="19">
        <f>'Solar Power Plant Data'!H323</f>
        <v>0</v>
      </c>
      <c r="C323" s="19">
        <f t="shared" si="1"/>
        <v>0</v>
      </c>
      <c r="D323" s="19">
        <f t="shared" si="2"/>
        <v>0</v>
      </c>
      <c r="E323" s="21">
        <f t="shared" si="3"/>
        <v>0</v>
      </c>
      <c r="F323" s="21">
        <f t="shared" si="4"/>
        <v>0</v>
      </c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3">
        <f>'Solar Power Plant Data'!A324</f>
        <v>42780.08333</v>
      </c>
      <c r="B324" s="19">
        <f>'Solar Power Plant Data'!H324</f>
        <v>128</v>
      </c>
      <c r="C324" s="19">
        <f t="shared" si="1"/>
        <v>0</v>
      </c>
      <c r="D324" s="19">
        <f t="shared" si="2"/>
        <v>128</v>
      </c>
      <c r="E324" s="21">
        <f t="shared" si="3"/>
        <v>128</v>
      </c>
      <c r="F324" s="21">
        <f t="shared" si="4"/>
        <v>16384</v>
      </c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3">
        <f>'Solar Power Plant Data'!A325</f>
        <v>42781.08333</v>
      </c>
      <c r="B325" s="19">
        <f>'Solar Power Plant Data'!H325</f>
        <v>5378333</v>
      </c>
      <c r="C325" s="19">
        <f t="shared" si="1"/>
        <v>1945001</v>
      </c>
      <c r="D325" s="19">
        <f t="shared" si="2"/>
        <v>3433332</v>
      </c>
      <c r="E325" s="21">
        <f t="shared" si="3"/>
        <v>3433332</v>
      </c>
      <c r="F325" s="21">
        <f t="shared" si="4"/>
        <v>11787768622224</v>
      </c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3">
        <f>'Solar Power Plant Data'!A326</f>
        <v>42782.08333</v>
      </c>
      <c r="B326" s="19">
        <f>'Solar Power Plant Data'!H326</f>
        <v>9176666</v>
      </c>
      <c r="C326" s="19">
        <f t="shared" si="1"/>
        <v>13426666</v>
      </c>
      <c r="D326" s="19">
        <f t="shared" si="2"/>
        <v>-4250000</v>
      </c>
      <c r="E326" s="21">
        <f t="shared" si="3"/>
        <v>4250000</v>
      </c>
      <c r="F326" s="21">
        <f t="shared" si="4"/>
        <v>18062500000000</v>
      </c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3">
        <f>'Solar Power Plant Data'!A327</f>
        <v>42783.08333</v>
      </c>
      <c r="B327" s="19">
        <f>'Solar Power Plant Data'!H327</f>
        <v>5114999</v>
      </c>
      <c r="C327" s="19">
        <f t="shared" si="1"/>
        <v>10441666</v>
      </c>
      <c r="D327" s="19">
        <f t="shared" si="2"/>
        <v>-5326667</v>
      </c>
      <c r="E327" s="21">
        <f t="shared" si="3"/>
        <v>5326667</v>
      </c>
      <c r="F327" s="21">
        <f t="shared" si="4"/>
        <v>28373381328889</v>
      </c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3">
        <f>'Solar Power Plant Data'!A328</f>
        <v>42784.08333</v>
      </c>
      <c r="B328" s="19">
        <f>'Solar Power Plant Data'!H328</f>
        <v>2588333</v>
      </c>
      <c r="C328" s="19">
        <f t="shared" si="1"/>
        <v>1923333</v>
      </c>
      <c r="D328" s="19">
        <f t="shared" si="2"/>
        <v>665000</v>
      </c>
      <c r="E328" s="21">
        <f t="shared" si="3"/>
        <v>665000</v>
      </c>
      <c r="F328" s="21">
        <f t="shared" si="4"/>
        <v>442225000000</v>
      </c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3">
        <f>'Solar Power Plant Data'!A329</f>
        <v>42785.08333</v>
      </c>
      <c r="B329" s="19">
        <f>'Solar Power Plant Data'!H329</f>
        <v>796667</v>
      </c>
      <c r="C329" s="19">
        <f t="shared" si="1"/>
        <v>1109999</v>
      </c>
      <c r="D329" s="19">
        <f t="shared" si="2"/>
        <v>-313332</v>
      </c>
      <c r="E329" s="21">
        <f t="shared" si="3"/>
        <v>313332</v>
      </c>
      <c r="F329" s="21">
        <f t="shared" si="4"/>
        <v>98176942224</v>
      </c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3">
        <f>'Solar Power Plant Data'!A330</f>
        <v>42786.08333</v>
      </c>
      <c r="B330" s="19">
        <f>'Solar Power Plant Data'!H330</f>
        <v>103333</v>
      </c>
      <c r="C330" s="19">
        <f t="shared" si="1"/>
        <v>0</v>
      </c>
      <c r="D330" s="19">
        <f t="shared" si="2"/>
        <v>103333</v>
      </c>
      <c r="E330" s="21">
        <f t="shared" si="3"/>
        <v>103333</v>
      </c>
      <c r="F330" s="21">
        <f t="shared" si="4"/>
        <v>10677708889</v>
      </c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3">
        <f>'Solar Power Plant Data'!A331</f>
        <v>42787.08333</v>
      </c>
      <c r="B331" s="19">
        <f>'Solar Power Plant Data'!H331</f>
        <v>0</v>
      </c>
      <c r="C331" s="19">
        <f t="shared" si="1"/>
        <v>0</v>
      </c>
      <c r="D331" s="19">
        <f t="shared" si="2"/>
        <v>0</v>
      </c>
      <c r="E331" s="21">
        <f t="shared" si="3"/>
        <v>0</v>
      </c>
      <c r="F331" s="21">
        <f t="shared" si="4"/>
        <v>0</v>
      </c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3">
        <f>'Solar Power Plant Data'!A332</f>
        <v>42788.08333</v>
      </c>
      <c r="B332" s="19">
        <f>'Solar Power Plant Data'!H332</f>
        <v>0</v>
      </c>
      <c r="C332" s="19">
        <f t="shared" si="1"/>
        <v>0</v>
      </c>
      <c r="D332" s="19">
        <f t="shared" si="2"/>
        <v>0</v>
      </c>
      <c r="E332" s="21">
        <f t="shared" si="3"/>
        <v>0</v>
      </c>
      <c r="F332" s="21">
        <f t="shared" si="4"/>
        <v>0</v>
      </c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3">
        <f>'Solar Power Plant Data'!A333</f>
        <v>42789.08333</v>
      </c>
      <c r="B333" s="19">
        <f>'Solar Power Plant Data'!H333</f>
        <v>0</v>
      </c>
      <c r="C333" s="19">
        <f t="shared" si="1"/>
        <v>0</v>
      </c>
      <c r="D333" s="19">
        <f t="shared" si="2"/>
        <v>0</v>
      </c>
      <c r="E333" s="21">
        <f t="shared" si="3"/>
        <v>0</v>
      </c>
      <c r="F333" s="21">
        <f t="shared" si="4"/>
        <v>0</v>
      </c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3">
        <f>'Solar Power Plant Data'!A334</f>
        <v>42790.08333</v>
      </c>
      <c r="B334" s="19">
        <f>'Solar Power Plant Data'!H334</f>
        <v>0</v>
      </c>
      <c r="C334" s="19">
        <f t="shared" si="1"/>
        <v>0</v>
      </c>
      <c r="D334" s="19">
        <f t="shared" si="2"/>
        <v>0</v>
      </c>
      <c r="E334" s="21">
        <f t="shared" si="3"/>
        <v>0</v>
      </c>
      <c r="F334" s="21">
        <f t="shared" si="4"/>
        <v>0</v>
      </c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3">
        <f>'Solar Power Plant Data'!A335</f>
        <v>42791.08333</v>
      </c>
      <c r="B335" s="19">
        <f>'Solar Power Plant Data'!H335</f>
        <v>0</v>
      </c>
      <c r="C335" s="19">
        <f t="shared" si="1"/>
        <v>0</v>
      </c>
      <c r="D335" s="19">
        <f t="shared" si="2"/>
        <v>0</v>
      </c>
      <c r="E335" s="21">
        <f t="shared" si="3"/>
        <v>0</v>
      </c>
      <c r="F335" s="21">
        <f t="shared" si="4"/>
        <v>0</v>
      </c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3">
        <f>'Solar Power Plant Data'!A336</f>
        <v>42792.08333</v>
      </c>
      <c r="B336" s="19">
        <f>'Solar Power Plant Data'!H336</f>
        <v>0</v>
      </c>
      <c r="C336" s="19">
        <f t="shared" si="1"/>
        <v>0</v>
      </c>
      <c r="D336" s="19">
        <f t="shared" si="2"/>
        <v>0</v>
      </c>
      <c r="E336" s="21">
        <f t="shared" si="3"/>
        <v>0</v>
      </c>
      <c r="F336" s="21">
        <f t="shared" si="4"/>
        <v>0</v>
      </c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3">
        <f>'Solar Power Plant Data'!A337</f>
        <v>42793.08333</v>
      </c>
      <c r="B337" s="19">
        <f>'Solar Power Plant Data'!H337</f>
        <v>0</v>
      </c>
      <c r="C337" s="19">
        <f t="shared" si="1"/>
        <v>0</v>
      </c>
      <c r="D337" s="19">
        <f t="shared" si="2"/>
        <v>0</v>
      </c>
      <c r="E337" s="21">
        <f t="shared" si="3"/>
        <v>0</v>
      </c>
      <c r="F337" s="21">
        <f t="shared" si="4"/>
        <v>0</v>
      </c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3">
        <f>'Solar Power Plant Data'!A338</f>
        <v>42794.08333</v>
      </c>
      <c r="B338" s="19">
        <f>'Solar Power Plant Data'!H338</f>
        <v>0</v>
      </c>
      <c r="C338" s="19">
        <f t="shared" si="1"/>
        <v>0</v>
      </c>
      <c r="D338" s="19">
        <f t="shared" si="2"/>
        <v>0</v>
      </c>
      <c r="E338" s="21">
        <f t="shared" si="3"/>
        <v>0</v>
      </c>
      <c r="F338" s="21">
        <f t="shared" si="4"/>
        <v>0</v>
      </c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3">
        <f>'Solar Power Plant Data'!A339</f>
        <v>42795.08333</v>
      </c>
      <c r="B339" s="19">
        <f>'Solar Power Plant Data'!H339</f>
        <v>0</v>
      </c>
      <c r="C339" s="19">
        <f t="shared" si="1"/>
        <v>0</v>
      </c>
      <c r="D339" s="19">
        <f t="shared" si="2"/>
        <v>0</v>
      </c>
      <c r="E339" s="21">
        <f t="shared" si="3"/>
        <v>0</v>
      </c>
      <c r="F339" s="21">
        <f t="shared" si="4"/>
        <v>0</v>
      </c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3">
        <f>'Solar Power Plant Data'!A340</f>
        <v>42796.08333</v>
      </c>
      <c r="B340" s="19">
        <f>'Solar Power Plant Data'!H340</f>
        <v>0</v>
      </c>
      <c r="C340" s="19">
        <f t="shared" si="1"/>
        <v>0</v>
      </c>
      <c r="D340" s="19">
        <f t="shared" si="2"/>
        <v>0</v>
      </c>
      <c r="E340" s="21">
        <f t="shared" si="3"/>
        <v>0</v>
      </c>
      <c r="F340" s="21">
        <f t="shared" si="4"/>
        <v>0</v>
      </c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3">
        <f>'Solar Power Plant Data'!A341</f>
        <v>42797.08333</v>
      </c>
      <c r="B341" s="19">
        <f>'Solar Power Plant Data'!H341</f>
        <v>0</v>
      </c>
      <c r="C341" s="19">
        <f t="shared" si="1"/>
        <v>0</v>
      </c>
      <c r="D341" s="19">
        <f t="shared" si="2"/>
        <v>0</v>
      </c>
      <c r="E341" s="21">
        <f t="shared" si="3"/>
        <v>0</v>
      </c>
      <c r="F341" s="21">
        <f t="shared" si="4"/>
        <v>0</v>
      </c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3">
        <f>'Solar Power Plant Data'!A342</f>
        <v>42798.08333</v>
      </c>
      <c r="B342" s="19">
        <f>'Solar Power Plant Data'!H342</f>
        <v>0</v>
      </c>
      <c r="C342" s="19">
        <f t="shared" si="1"/>
        <v>0</v>
      </c>
      <c r="D342" s="19">
        <f t="shared" si="2"/>
        <v>0</v>
      </c>
      <c r="E342" s="21">
        <f t="shared" si="3"/>
        <v>0</v>
      </c>
      <c r="F342" s="21">
        <f t="shared" si="4"/>
        <v>0</v>
      </c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3">
        <f>'Solar Power Plant Data'!A343</f>
        <v>42799.08333</v>
      </c>
      <c r="B343" s="19">
        <f>'Solar Power Plant Data'!H343</f>
        <v>0</v>
      </c>
      <c r="C343" s="19">
        <f t="shared" si="1"/>
        <v>0</v>
      </c>
      <c r="D343" s="19">
        <f t="shared" si="2"/>
        <v>0</v>
      </c>
      <c r="E343" s="21">
        <f t="shared" si="3"/>
        <v>0</v>
      </c>
      <c r="F343" s="21">
        <f t="shared" si="4"/>
        <v>0</v>
      </c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3">
        <f>'Solar Power Plant Data'!A344</f>
        <v>42800.08333</v>
      </c>
      <c r="B344" s="19">
        <f>'Solar Power Plant Data'!H344</f>
        <v>0</v>
      </c>
      <c r="C344" s="19">
        <f t="shared" si="1"/>
        <v>0</v>
      </c>
      <c r="D344" s="19">
        <f t="shared" si="2"/>
        <v>0</v>
      </c>
      <c r="E344" s="21">
        <f t="shared" si="3"/>
        <v>0</v>
      </c>
      <c r="F344" s="21">
        <f t="shared" si="4"/>
        <v>0</v>
      </c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3">
        <f>'Solar Power Plant Data'!A345</f>
        <v>42801.08333</v>
      </c>
      <c r="B345" s="19">
        <f>'Solar Power Plant Data'!H345</f>
        <v>0</v>
      </c>
      <c r="C345" s="19">
        <f t="shared" si="1"/>
        <v>0</v>
      </c>
      <c r="D345" s="19">
        <f t="shared" si="2"/>
        <v>0</v>
      </c>
      <c r="E345" s="21">
        <f t="shared" si="3"/>
        <v>0</v>
      </c>
      <c r="F345" s="21">
        <f t="shared" si="4"/>
        <v>0</v>
      </c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3">
        <f>'Solar Power Plant Data'!A346</f>
        <v>42802.08333</v>
      </c>
      <c r="B346" s="19">
        <f>'Solar Power Plant Data'!H346</f>
        <v>0</v>
      </c>
      <c r="C346" s="19">
        <f t="shared" si="1"/>
        <v>0</v>
      </c>
      <c r="D346" s="19">
        <f t="shared" si="2"/>
        <v>0</v>
      </c>
      <c r="E346" s="21">
        <f t="shared" si="3"/>
        <v>0</v>
      </c>
      <c r="F346" s="21">
        <f t="shared" si="4"/>
        <v>0</v>
      </c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3">
        <f>'Solar Power Plant Data'!A347</f>
        <v>42803.08333</v>
      </c>
      <c r="B347" s="19">
        <f>'Solar Power Plant Data'!H347</f>
        <v>0</v>
      </c>
      <c r="C347" s="19">
        <f t="shared" si="1"/>
        <v>0</v>
      </c>
      <c r="D347" s="19">
        <f t="shared" si="2"/>
        <v>0</v>
      </c>
      <c r="E347" s="21">
        <f t="shared" si="3"/>
        <v>0</v>
      </c>
      <c r="F347" s="21">
        <f t="shared" si="4"/>
        <v>0</v>
      </c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3">
        <f>'Solar Power Plant Data'!A348</f>
        <v>42804.08333</v>
      </c>
      <c r="B348" s="19">
        <f>'Solar Power Plant Data'!H348</f>
        <v>0</v>
      </c>
      <c r="C348" s="19">
        <f t="shared" si="1"/>
        <v>128</v>
      </c>
      <c r="D348" s="19">
        <f t="shared" si="2"/>
        <v>-128</v>
      </c>
      <c r="E348" s="21">
        <f t="shared" si="3"/>
        <v>128</v>
      </c>
      <c r="F348" s="21">
        <f t="shared" si="4"/>
        <v>16384</v>
      </c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3">
        <f>'Solar Power Plant Data'!A349</f>
        <v>42805.08333</v>
      </c>
      <c r="B349" s="19">
        <f>'Solar Power Plant Data'!H349</f>
        <v>0</v>
      </c>
      <c r="C349" s="19">
        <f t="shared" si="1"/>
        <v>5378333</v>
      </c>
      <c r="D349" s="19">
        <f t="shared" si="2"/>
        <v>-5378333</v>
      </c>
      <c r="E349" s="21">
        <f t="shared" si="3"/>
        <v>5378333</v>
      </c>
      <c r="F349" s="21">
        <f t="shared" si="4"/>
        <v>28926465858889</v>
      </c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3">
        <f>'Solar Power Plant Data'!A350</f>
        <v>42806.08333</v>
      </c>
      <c r="B350" s="19">
        <f>'Solar Power Plant Data'!H350</f>
        <v>12128333</v>
      </c>
      <c r="C350" s="19">
        <f t="shared" si="1"/>
        <v>9176666</v>
      </c>
      <c r="D350" s="19">
        <f t="shared" si="2"/>
        <v>2951667</v>
      </c>
      <c r="E350" s="21">
        <f t="shared" si="3"/>
        <v>2951667</v>
      </c>
      <c r="F350" s="21">
        <f t="shared" si="4"/>
        <v>8712338078889</v>
      </c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3">
        <f>'Solar Power Plant Data'!A351</f>
        <v>42807.08333</v>
      </c>
      <c r="B351" s="19">
        <f>'Solar Power Plant Data'!H351</f>
        <v>1094</v>
      </c>
      <c r="C351" s="19">
        <f t="shared" si="1"/>
        <v>5114999</v>
      </c>
      <c r="D351" s="19">
        <f t="shared" si="2"/>
        <v>-5113905</v>
      </c>
      <c r="E351" s="21">
        <f t="shared" si="3"/>
        <v>5113905</v>
      </c>
      <c r="F351" s="21">
        <f t="shared" si="4"/>
        <v>26152024349025</v>
      </c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3">
        <f>'Solar Power Plant Data'!A352</f>
        <v>42808.08333</v>
      </c>
      <c r="B352" s="19">
        <f>'Solar Power Plant Data'!H352</f>
        <v>1666667</v>
      </c>
      <c r="C352" s="19">
        <f t="shared" si="1"/>
        <v>2588333</v>
      </c>
      <c r="D352" s="19">
        <f t="shared" si="2"/>
        <v>-921666</v>
      </c>
      <c r="E352" s="21">
        <f t="shared" si="3"/>
        <v>921666</v>
      </c>
      <c r="F352" s="21">
        <f t="shared" si="4"/>
        <v>849468215556</v>
      </c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3">
        <f>'Solar Power Plant Data'!A353</f>
        <v>42809.08333</v>
      </c>
      <c r="B353" s="19">
        <f>'Solar Power Plant Data'!H353</f>
        <v>1153334</v>
      </c>
      <c r="C353" s="19">
        <f t="shared" si="1"/>
        <v>796667</v>
      </c>
      <c r="D353" s="19">
        <f t="shared" si="2"/>
        <v>356667</v>
      </c>
      <c r="E353" s="21">
        <f t="shared" si="3"/>
        <v>356667</v>
      </c>
      <c r="F353" s="21">
        <f t="shared" si="4"/>
        <v>127211348889</v>
      </c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3">
        <f>'Solar Power Plant Data'!A354</f>
        <v>42810.08333</v>
      </c>
      <c r="B354" s="19">
        <f>'Solar Power Plant Data'!H354</f>
        <v>1</v>
      </c>
      <c r="C354" s="19">
        <f t="shared" si="1"/>
        <v>103333</v>
      </c>
      <c r="D354" s="19">
        <f t="shared" si="2"/>
        <v>-103332</v>
      </c>
      <c r="E354" s="21">
        <f t="shared" si="3"/>
        <v>103332</v>
      </c>
      <c r="F354" s="21">
        <f t="shared" si="4"/>
        <v>10677502224</v>
      </c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3">
        <f>'Solar Power Plant Data'!A355</f>
        <v>42811.08333</v>
      </c>
      <c r="B355" s="19">
        <f>'Solar Power Plant Data'!H355</f>
        <v>0</v>
      </c>
      <c r="C355" s="19">
        <f t="shared" si="1"/>
        <v>0</v>
      </c>
      <c r="D355" s="19">
        <f t="shared" si="2"/>
        <v>0</v>
      </c>
      <c r="E355" s="21">
        <f t="shared" si="3"/>
        <v>0</v>
      </c>
      <c r="F355" s="21">
        <f t="shared" si="4"/>
        <v>0</v>
      </c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3">
        <f>'Solar Power Plant Data'!A356</f>
        <v>42812.08333</v>
      </c>
      <c r="B356" s="19">
        <f>'Solar Power Plant Data'!H356</f>
        <v>0</v>
      </c>
      <c r="C356" s="19">
        <f t="shared" si="1"/>
        <v>0</v>
      </c>
      <c r="D356" s="19">
        <f t="shared" si="2"/>
        <v>0</v>
      </c>
      <c r="E356" s="21">
        <f t="shared" si="3"/>
        <v>0</v>
      </c>
      <c r="F356" s="21">
        <f t="shared" si="4"/>
        <v>0</v>
      </c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3">
        <f>'Solar Power Plant Data'!A357</f>
        <v>42813.08333</v>
      </c>
      <c r="B357" s="19">
        <f>'Solar Power Plant Data'!H357</f>
        <v>0</v>
      </c>
      <c r="C357" s="19">
        <f t="shared" si="1"/>
        <v>0</v>
      </c>
      <c r="D357" s="19">
        <f t="shared" si="2"/>
        <v>0</v>
      </c>
      <c r="E357" s="21">
        <f t="shared" si="3"/>
        <v>0</v>
      </c>
      <c r="F357" s="21">
        <f t="shared" si="4"/>
        <v>0</v>
      </c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3">
        <f>'Solar Power Plant Data'!A358</f>
        <v>42814.08333</v>
      </c>
      <c r="B358" s="19">
        <f>'Solar Power Plant Data'!H358</f>
        <v>0</v>
      </c>
      <c r="C358" s="19">
        <f t="shared" si="1"/>
        <v>0</v>
      </c>
      <c r="D358" s="19">
        <f t="shared" si="2"/>
        <v>0</v>
      </c>
      <c r="E358" s="21">
        <f t="shared" si="3"/>
        <v>0</v>
      </c>
      <c r="F358" s="21">
        <f t="shared" si="4"/>
        <v>0</v>
      </c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3">
        <f>'Solar Power Plant Data'!A359</f>
        <v>42815.08333</v>
      </c>
      <c r="B359" s="19">
        <f>'Solar Power Plant Data'!H359</f>
        <v>0</v>
      </c>
      <c r="C359" s="19">
        <f t="shared" si="1"/>
        <v>0</v>
      </c>
      <c r="D359" s="19">
        <f t="shared" si="2"/>
        <v>0</v>
      </c>
      <c r="E359" s="21">
        <f t="shared" si="3"/>
        <v>0</v>
      </c>
      <c r="F359" s="21">
        <f t="shared" si="4"/>
        <v>0</v>
      </c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3">
        <f>'Solar Power Plant Data'!A360</f>
        <v>42816.08333</v>
      </c>
      <c r="B360" s="19">
        <f>'Solar Power Plant Data'!H360</f>
        <v>0</v>
      </c>
      <c r="C360" s="19">
        <f t="shared" si="1"/>
        <v>0</v>
      </c>
      <c r="D360" s="19">
        <f t="shared" si="2"/>
        <v>0</v>
      </c>
      <c r="E360" s="21">
        <f t="shared" si="3"/>
        <v>0</v>
      </c>
      <c r="F360" s="21">
        <f t="shared" si="4"/>
        <v>0</v>
      </c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3">
        <f>'Solar Power Plant Data'!A361</f>
        <v>42817.08333</v>
      </c>
      <c r="B361" s="19">
        <f>'Solar Power Plant Data'!H361</f>
        <v>0</v>
      </c>
      <c r="C361" s="19">
        <f t="shared" si="1"/>
        <v>0</v>
      </c>
      <c r="D361" s="19">
        <f t="shared" si="2"/>
        <v>0</v>
      </c>
      <c r="E361" s="21">
        <f t="shared" si="3"/>
        <v>0</v>
      </c>
      <c r="F361" s="21">
        <f t="shared" si="4"/>
        <v>0</v>
      </c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3">
        <f>'Solar Power Plant Data'!A362</f>
        <v>42818.08333</v>
      </c>
      <c r="B362" s="19">
        <f>'Solar Power Plant Data'!H362</f>
        <v>0</v>
      </c>
      <c r="C362" s="19">
        <f t="shared" si="1"/>
        <v>0</v>
      </c>
      <c r="D362" s="19">
        <f t="shared" si="2"/>
        <v>0</v>
      </c>
      <c r="E362" s="21">
        <f t="shared" si="3"/>
        <v>0</v>
      </c>
      <c r="F362" s="21">
        <f t="shared" si="4"/>
        <v>0</v>
      </c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3">
        <f>'Solar Power Plant Data'!A363</f>
        <v>42819.08333</v>
      </c>
      <c r="B363" s="19">
        <f>'Solar Power Plant Data'!H363</f>
        <v>0</v>
      </c>
      <c r="C363" s="19">
        <f t="shared" si="1"/>
        <v>0</v>
      </c>
      <c r="D363" s="19">
        <f t="shared" si="2"/>
        <v>0</v>
      </c>
      <c r="E363" s="21">
        <f t="shared" si="3"/>
        <v>0</v>
      </c>
      <c r="F363" s="21">
        <f t="shared" si="4"/>
        <v>0</v>
      </c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3">
        <f>'Solar Power Plant Data'!A364</f>
        <v>42820.08333</v>
      </c>
      <c r="B364" s="19">
        <f>'Solar Power Plant Data'!H364</f>
        <v>0</v>
      </c>
      <c r="C364" s="19">
        <f t="shared" si="1"/>
        <v>0</v>
      </c>
      <c r="D364" s="19">
        <f t="shared" si="2"/>
        <v>0</v>
      </c>
      <c r="E364" s="21">
        <f t="shared" si="3"/>
        <v>0</v>
      </c>
      <c r="F364" s="21">
        <f t="shared" si="4"/>
        <v>0</v>
      </c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3">
        <f>'Solar Power Plant Data'!A365</f>
        <v>42821.08333</v>
      </c>
      <c r="B365" s="19">
        <f>'Solar Power Plant Data'!H365</f>
        <v>0</v>
      </c>
      <c r="C365" s="19">
        <f t="shared" si="1"/>
        <v>0</v>
      </c>
      <c r="D365" s="19">
        <f t="shared" si="2"/>
        <v>0</v>
      </c>
      <c r="E365" s="21">
        <f t="shared" si="3"/>
        <v>0</v>
      </c>
      <c r="F365" s="21">
        <f t="shared" si="4"/>
        <v>0</v>
      </c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3">
        <f>'Solar Power Plant Data'!A366</f>
        <v>42822.08333</v>
      </c>
      <c r="B366" s="19">
        <f>'Solar Power Plant Data'!H366</f>
        <v>0</v>
      </c>
      <c r="C366" s="19">
        <f t="shared" si="1"/>
        <v>0</v>
      </c>
      <c r="D366" s="19">
        <f t="shared" si="2"/>
        <v>0</v>
      </c>
      <c r="E366" s="21">
        <f t="shared" si="3"/>
        <v>0</v>
      </c>
      <c r="F366" s="21">
        <f t="shared" si="4"/>
        <v>0</v>
      </c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3">
        <f>'Solar Power Plant Data'!A367</f>
        <v>42823.08333</v>
      </c>
      <c r="B367" s="19">
        <f>'Solar Power Plant Data'!H367</f>
        <v>0</v>
      </c>
      <c r="C367" s="19">
        <f t="shared" si="1"/>
        <v>0</v>
      </c>
      <c r="D367" s="19">
        <f t="shared" si="2"/>
        <v>0</v>
      </c>
      <c r="E367" s="21">
        <f t="shared" si="3"/>
        <v>0</v>
      </c>
      <c r="F367" s="21">
        <f t="shared" si="4"/>
        <v>0</v>
      </c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3">
        <f>'Solar Power Plant Data'!A368</f>
        <v>42824.08333</v>
      </c>
      <c r="B368" s="19">
        <f>'Solar Power Plant Data'!H368</f>
        <v>0</v>
      </c>
      <c r="C368" s="19">
        <f t="shared" si="1"/>
        <v>0</v>
      </c>
      <c r="D368" s="19">
        <f t="shared" si="2"/>
        <v>0</v>
      </c>
      <c r="E368" s="21">
        <f t="shared" si="3"/>
        <v>0</v>
      </c>
      <c r="F368" s="21">
        <f t="shared" si="4"/>
        <v>0</v>
      </c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3">
        <f>'Solar Power Plant Data'!A369</f>
        <v>42825.08333</v>
      </c>
      <c r="B369" s="19">
        <f>'Solar Power Plant Data'!H369</f>
        <v>0</v>
      </c>
      <c r="C369" s="19">
        <f t="shared" si="1"/>
        <v>0</v>
      </c>
      <c r="D369" s="19">
        <f t="shared" si="2"/>
        <v>0</v>
      </c>
      <c r="E369" s="21">
        <f t="shared" si="3"/>
        <v>0</v>
      </c>
      <c r="F369" s="21">
        <f t="shared" si="4"/>
        <v>0</v>
      </c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3">
        <f>'Solar Power Plant Data'!A370</f>
        <v>42826.08333</v>
      </c>
      <c r="B370" s="19">
        <f>'Solar Power Plant Data'!H370</f>
        <v>0</v>
      </c>
      <c r="C370" s="19">
        <f t="shared" si="1"/>
        <v>0</v>
      </c>
      <c r="D370" s="19">
        <f t="shared" si="2"/>
        <v>0</v>
      </c>
      <c r="E370" s="21">
        <f t="shared" si="3"/>
        <v>0</v>
      </c>
      <c r="F370" s="21">
        <f t="shared" si="4"/>
        <v>0</v>
      </c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3">
        <f>'Solar Power Plant Data'!A371</f>
        <v>42827.08333</v>
      </c>
      <c r="B371" s="19">
        <f>'Solar Power Plant Data'!H371</f>
        <v>0</v>
      </c>
      <c r="C371" s="19">
        <f t="shared" si="1"/>
        <v>0</v>
      </c>
      <c r="D371" s="19">
        <f t="shared" si="2"/>
        <v>0</v>
      </c>
      <c r="E371" s="21">
        <f t="shared" si="3"/>
        <v>0</v>
      </c>
      <c r="F371" s="21">
        <f t="shared" si="4"/>
        <v>0</v>
      </c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3">
        <f>'Solar Power Plant Data'!A372</f>
        <v>42828.08333</v>
      </c>
      <c r="B372" s="19">
        <f>'Solar Power Plant Data'!H372</f>
        <v>0</v>
      </c>
      <c r="C372" s="19">
        <f t="shared" si="1"/>
        <v>0</v>
      </c>
      <c r="D372" s="19">
        <f t="shared" si="2"/>
        <v>0</v>
      </c>
      <c r="E372" s="21">
        <f t="shared" si="3"/>
        <v>0</v>
      </c>
      <c r="F372" s="21">
        <f t="shared" si="4"/>
        <v>0</v>
      </c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3">
        <f>'Solar Power Plant Data'!A373</f>
        <v>42829.08333</v>
      </c>
      <c r="B373" s="19">
        <f>'Solar Power Plant Data'!H373</f>
        <v>0</v>
      </c>
      <c r="C373" s="19">
        <f t="shared" si="1"/>
        <v>0</v>
      </c>
      <c r="D373" s="19">
        <f t="shared" si="2"/>
        <v>0</v>
      </c>
      <c r="E373" s="21">
        <f t="shared" si="3"/>
        <v>0</v>
      </c>
      <c r="F373" s="21">
        <f t="shared" si="4"/>
        <v>0</v>
      </c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3">
        <f>'Solar Power Plant Data'!A374</f>
        <v>42830.08333</v>
      </c>
      <c r="B374" s="19">
        <f>'Solar Power Plant Data'!H374</f>
        <v>12185833</v>
      </c>
      <c r="C374" s="19">
        <f t="shared" si="1"/>
        <v>12128333</v>
      </c>
      <c r="D374" s="19">
        <f t="shared" si="2"/>
        <v>57500</v>
      </c>
      <c r="E374" s="21">
        <f t="shared" si="3"/>
        <v>57500</v>
      </c>
      <c r="F374" s="21">
        <f t="shared" si="4"/>
        <v>3306250000</v>
      </c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3">
        <f>'Solar Power Plant Data'!A375</f>
        <v>42831.08333</v>
      </c>
      <c r="B375" s="19">
        <f>'Solar Power Plant Data'!H375</f>
        <v>1198</v>
      </c>
      <c r="C375" s="19">
        <f t="shared" si="1"/>
        <v>1094</v>
      </c>
      <c r="D375" s="19">
        <f t="shared" si="2"/>
        <v>104</v>
      </c>
      <c r="E375" s="21">
        <f t="shared" si="3"/>
        <v>104</v>
      </c>
      <c r="F375" s="21">
        <f t="shared" si="4"/>
        <v>10816</v>
      </c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3">
        <f>'Solar Power Plant Data'!A376</f>
        <v>42832.08333</v>
      </c>
      <c r="B376" s="19">
        <f>'Solar Power Plant Data'!H376</f>
        <v>1825001</v>
      </c>
      <c r="C376" s="19">
        <f t="shared" si="1"/>
        <v>1666667</v>
      </c>
      <c r="D376" s="19">
        <f t="shared" si="2"/>
        <v>158334</v>
      </c>
      <c r="E376" s="21">
        <f t="shared" si="3"/>
        <v>158334</v>
      </c>
      <c r="F376" s="21">
        <f t="shared" si="4"/>
        <v>25069655556</v>
      </c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3">
        <f>'Solar Power Plant Data'!A377</f>
        <v>42833.08333</v>
      </c>
      <c r="B377" s="19">
        <f>'Solar Power Plant Data'!H377</f>
        <v>122</v>
      </c>
      <c r="C377" s="19">
        <f t="shared" si="1"/>
        <v>1153334</v>
      </c>
      <c r="D377" s="19">
        <f t="shared" si="2"/>
        <v>-1153212</v>
      </c>
      <c r="E377" s="21">
        <f t="shared" si="3"/>
        <v>1153212</v>
      </c>
      <c r="F377" s="21">
        <f t="shared" si="4"/>
        <v>1329897916944</v>
      </c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3">
        <f>'Solar Power Plant Data'!A378</f>
        <v>42834.08333</v>
      </c>
      <c r="B378" s="19">
        <f>'Solar Power Plant Data'!H378</f>
        <v>61667</v>
      </c>
      <c r="C378" s="19">
        <f t="shared" si="1"/>
        <v>1</v>
      </c>
      <c r="D378" s="19">
        <f t="shared" si="2"/>
        <v>61666</v>
      </c>
      <c r="E378" s="21">
        <f t="shared" si="3"/>
        <v>61666</v>
      </c>
      <c r="F378" s="21">
        <f t="shared" si="4"/>
        <v>3802695556</v>
      </c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3">
        <f>'Solar Power Plant Data'!A379</f>
        <v>42835.08333</v>
      </c>
      <c r="B379" s="19">
        <f>'Solar Power Plant Data'!H379</f>
        <v>0</v>
      </c>
      <c r="C379" s="19">
        <f t="shared" si="1"/>
        <v>0</v>
      </c>
      <c r="D379" s="19">
        <f t="shared" si="2"/>
        <v>0</v>
      </c>
      <c r="E379" s="21">
        <f t="shared" si="3"/>
        <v>0</v>
      </c>
      <c r="F379" s="21">
        <f t="shared" si="4"/>
        <v>0</v>
      </c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3">
        <f>'Solar Power Plant Data'!A380</f>
        <v>42836.08333</v>
      </c>
      <c r="B380" s="19">
        <f>'Solar Power Plant Data'!H380</f>
        <v>0</v>
      </c>
      <c r="C380" s="19">
        <f t="shared" si="1"/>
        <v>0</v>
      </c>
      <c r="D380" s="19">
        <f t="shared" si="2"/>
        <v>0</v>
      </c>
      <c r="E380" s="21">
        <f t="shared" si="3"/>
        <v>0</v>
      </c>
      <c r="F380" s="21">
        <f t="shared" si="4"/>
        <v>0</v>
      </c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3">
        <f>'Solar Power Plant Data'!A381</f>
        <v>42837.08333</v>
      </c>
      <c r="B381" s="19">
        <f>'Solar Power Plant Data'!H381</f>
        <v>0</v>
      </c>
      <c r="C381" s="19">
        <f t="shared" si="1"/>
        <v>0</v>
      </c>
      <c r="D381" s="19">
        <f t="shared" si="2"/>
        <v>0</v>
      </c>
      <c r="E381" s="21">
        <f t="shared" si="3"/>
        <v>0</v>
      </c>
      <c r="F381" s="21">
        <f t="shared" si="4"/>
        <v>0</v>
      </c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3">
        <f>'Solar Power Plant Data'!A382</f>
        <v>42838.08333</v>
      </c>
      <c r="B382" s="19">
        <f>'Solar Power Plant Data'!H382</f>
        <v>0</v>
      </c>
      <c r="C382" s="19">
        <f t="shared" si="1"/>
        <v>0</v>
      </c>
      <c r="D382" s="19">
        <f t="shared" si="2"/>
        <v>0</v>
      </c>
      <c r="E382" s="21">
        <f t="shared" si="3"/>
        <v>0</v>
      </c>
      <c r="F382" s="21">
        <f t="shared" si="4"/>
        <v>0</v>
      </c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3">
        <f>'Solar Power Plant Data'!A383</f>
        <v>42839.08333</v>
      </c>
      <c r="B383" s="19">
        <f>'Solar Power Plant Data'!H383</f>
        <v>0</v>
      </c>
      <c r="C383" s="19">
        <f t="shared" si="1"/>
        <v>0</v>
      </c>
      <c r="D383" s="19">
        <f t="shared" si="2"/>
        <v>0</v>
      </c>
      <c r="E383" s="21">
        <f t="shared" si="3"/>
        <v>0</v>
      </c>
      <c r="F383" s="21">
        <f t="shared" si="4"/>
        <v>0</v>
      </c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3">
        <f>'Solar Power Plant Data'!A384</f>
        <v>42840.08333</v>
      </c>
      <c r="B384" s="19">
        <f>'Solar Power Plant Data'!H384</f>
        <v>0</v>
      </c>
      <c r="C384" s="19">
        <f t="shared" si="1"/>
        <v>0</v>
      </c>
      <c r="D384" s="19">
        <f t="shared" si="2"/>
        <v>0</v>
      </c>
      <c r="E384" s="21">
        <f t="shared" si="3"/>
        <v>0</v>
      </c>
      <c r="F384" s="21">
        <f t="shared" si="4"/>
        <v>0</v>
      </c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3">
        <f>'Solar Power Plant Data'!A385</f>
        <v>42841.08333</v>
      </c>
      <c r="B385" s="19">
        <f>'Solar Power Plant Data'!H385</f>
        <v>0</v>
      </c>
      <c r="C385" s="19">
        <f t="shared" si="1"/>
        <v>0</v>
      </c>
      <c r="D385" s="19">
        <f t="shared" si="2"/>
        <v>0</v>
      </c>
      <c r="E385" s="21">
        <f t="shared" si="3"/>
        <v>0</v>
      </c>
      <c r="F385" s="21">
        <f t="shared" si="4"/>
        <v>0</v>
      </c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3">
        <f>'Solar Power Plant Data'!A386</f>
        <v>42842.08333</v>
      </c>
      <c r="B386" s="19">
        <f>'Solar Power Plant Data'!H386</f>
        <v>0</v>
      </c>
      <c r="C386" s="19">
        <f t="shared" si="1"/>
        <v>0</v>
      </c>
      <c r="D386" s="19">
        <f t="shared" si="2"/>
        <v>0</v>
      </c>
      <c r="E386" s="21">
        <f t="shared" si="3"/>
        <v>0</v>
      </c>
      <c r="F386" s="21">
        <f t="shared" si="4"/>
        <v>0</v>
      </c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3">
        <f>'Solar Power Plant Data'!A387</f>
        <v>42843.08333</v>
      </c>
      <c r="B387" s="19">
        <f>'Solar Power Plant Data'!H387</f>
        <v>0</v>
      </c>
      <c r="C387" s="19">
        <f t="shared" si="1"/>
        <v>0</v>
      </c>
      <c r="D387" s="19">
        <f t="shared" si="2"/>
        <v>0</v>
      </c>
      <c r="E387" s="21">
        <f t="shared" si="3"/>
        <v>0</v>
      </c>
      <c r="F387" s="21">
        <f t="shared" si="4"/>
        <v>0</v>
      </c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3">
        <f>'Solar Power Plant Data'!A388</f>
        <v>42844.08333</v>
      </c>
      <c r="B388" s="19">
        <f>'Solar Power Plant Data'!H388</f>
        <v>0</v>
      </c>
      <c r="C388" s="19">
        <f t="shared" si="1"/>
        <v>0</v>
      </c>
      <c r="D388" s="19">
        <f t="shared" si="2"/>
        <v>0</v>
      </c>
      <c r="E388" s="21">
        <f t="shared" si="3"/>
        <v>0</v>
      </c>
      <c r="F388" s="21">
        <f t="shared" si="4"/>
        <v>0</v>
      </c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3">
        <f>'Solar Power Plant Data'!A389</f>
        <v>42845.08333</v>
      </c>
      <c r="B389" s="19">
        <f>'Solar Power Plant Data'!H389</f>
        <v>0</v>
      </c>
      <c r="C389" s="19">
        <f t="shared" si="1"/>
        <v>0</v>
      </c>
      <c r="D389" s="19">
        <f t="shared" si="2"/>
        <v>0</v>
      </c>
      <c r="E389" s="21">
        <f t="shared" si="3"/>
        <v>0</v>
      </c>
      <c r="F389" s="21">
        <f t="shared" si="4"/>
        <v>0</v>
      </c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3">
        <f>'Solar Power Plant Data'!A390</f>
        <v>42846.08333</v>
      </c>
      <c r="B390" s="19">
        <f>'Solar Power Plant Data'!H390</f>
        <v>0</v>
      </c>
      <c r="C390" s="19">
        <f t="shared" si="1"/>
        <v>0</v>
      </c>
      <c r="D390" s="19">
        <f t="shared" si="2"/>
        <v>0</v>
      </c>
      <c r="E390" s="21">
        <f t="shared" si="3"/>
        <v>0</v>
      </c>
      <c r="F390" s="21">
        <f t="shared" si="4"/>
        <v>0</v>
      </c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3">
        <f>'Solar Power Plant Data'!A391</f>
        <v>42847.08333</v>
      </c>
      <c r="B391" s="19">
        <f>'Solar Power Plant Data'!H391</f>
        <v>0</v>
      </c>
      <c r="C391" s="19">
        <f t="shared" si="1"/>
        <v>0</v>
      </c>
      <c r="D391" s="19">
        <f t="shared" si="2"/>
        <v>0</v>
      </c>
      <c r="E391" s="21">
        <f t="shared" si="3"/>
        <v>0</v>
      </c>
      <c r="F391" s="21">
        <f t="shared" si="4"/>
        <v>0</v>
      </c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3">
        <f>'Solar Power Plant Data'!A392</f>
        <v>42848.08333</v>
      </c>
      <c r="B392" s="19">
        <f>'Solar Power Plant Data'!H392</f>
        <v>0</v>
      </c>
      <c r="C392" s="19">
        <f t="shared" si="1"/>
        <v>0</v>
      </c>
      <c r="D392" s="19">
        <f t="shared" si="2"/>
        <v>0</v>
      </c>
      <c r="E392" s="21">
        <f t="shared" si="3"/>
        <v>0</v>
      </c>
      <c r="F392" s="21">
        <f t="shared" si="4"/>
        <v>0</v>
      </c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3">
        <f>'Solar Power Plant Data'!A393</f>
        <v>42849.08333</v>
      </c>
      <c r="B393" s="19">
        <f>'Solar Power Plant Data'!H393</f>
        <v>0</v>
      </c>
      <c r="C393" s="19">
        <f t="shared" si="1"/>
        <v>0</v>
      </c>
      <c r="D393" s="19">
        <f t="shared" si="2"/>
        <v>0</v>
      </c>
      <c r="E393" s="21">
        <f t="shared" si="3"/>
        <v>0</v>
      </c>
      <c r="F393" s="21">
        <f t="shared" si="4"/>
        <v>0</v>
      </c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3">
        <f>'Solar Power Plant Data'!A394</f>
        <v>42850.08333</v>
      </c>
      <c r="B394" s="19">
        <f>'Solar Power Plant Data'!H394</f>
        <v>0</v>
      </c>
      <c r="C394" s="19">
        <f t="shared" si="1"/>
        <v>0</v>
      </c>
      <c r="D394" s="19">
        <f t="shared" si="2"/>
        <v>0</v>
      </c>
      <c r="E394" s="21">
        <f t="shared" si="3"/>
        <v>0</v>
      </c>
      <c r="F394" s="21">
        <f t="shared" si="4"/>
        <v>0</v>
      </c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3">
        <f>'Solar Power Plant Data'!A395</f>
        <v>42851.08333</v>
      </c>
      <c r="B395" s="19">
        <f>'Solar Power Plant Data'!H395</f>
        <v>0</v>
      </c>
      <c r="C395" s="19">
        <f t="shared" si="1"/>
        <v>0</v>
      </c>
      <c r="D395" s="19">
        <f t="shared" si="2"/>
        <v>0</v>
      </c>
      <c r="E395" s="21">
        <f t="shared" si="3"/>
        <v>0</v>
      </c>
      <c r="F395" s="21">
        <f t="shared" si="4"/>
        <v>0</v>
      </c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3">
        <f>'Solar Power Plant Data'!A396</f>
        <v>42852.08333</v>
      </c>
      <c r="B396" s="19">
        <f>'Solar Power Plant Data'!H396</f>
        <v>0</v>
      </c>
      <c r="C396" s="19">
        <f t="shared" si="1"/>
        <v>0</v>
      </c>
      <c r="D396" s="19">
        <f t="shared" si="2"/>
        <v>0</v>
      </c>
      <c r="E396" s="21">
        <f t="shared" si="3"/>
        <v>0</v>
      </c>
      <c r="F396" s="21">
        <f t="shared" si="4"/>
        <v>0</v>
      </c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3">
        <f>'Solar Power Plant Data'!A397</f>
        <v>42853.08333</v>
      </c>
      <c r="B397" s="19">
        <f>'Solar Power Plant Data'!H397</f>
        <v>218</v>
      </c>
      <c r="C397" s="19">
        <f t="shared" si="1"/>
        <v>0</v>
      </c>
      <c r="D397" s="19">
        <f t="shared" si="2"/>
        <v>218</v>
      </c>
      <c r="E397" s="21">
        <f t="shared" si="3"/>
        <v>218</v>
      </c>
      <c r="F397" s="21">
        <f t="shared" si="4"/>
        <v>47524</v>
      </c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3">
        <f>'Solar Power Plant Data'!A398</f>
        <v>42854.08333</v>
      </c>
      <c r="B398" s="19">
        <f>'Solar Power Plant Data'!H398</f>
        <v>328</v>
      </c>
      <c r="C398" s="19">
        <f t="shared" si="1"/>
        <v>12185833</v>
      </c>
      <c r="D398" s="19">
        <f t="shared" si="2"/>
        <v>-12185505</v>
      </c>
      <c r="E398" s="21">
        <f t="shared" si="3"/>
        <v>12185505</v>
      </c>
      <c r="F398" s="21">
        <f t="shared" si="4"/>
        <v>148486532105025</v>
      </c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3">
        <f>'Solar Power Plant Data'!A399</f>
        <v>42855.08333</v>
      </c>
      <c r="B399" s="19">
        <f>'Solar Power Plant Data'!H399</f>
        <v>2768334</v>
      </c>
      <c r="C399" s="19">
        <f t="shared" si="1"/>
        <v>1198</v>
      </c>
      <c r="D399" s="19">
        <f t="shared" si="2"/>
        <v>2767136</v>
      </c>
      <c r="E399" s="21">
        <f t="shared" si="3"/>
        <v>2767136</v>
      </c>
      <c r="F399" s="21">
        <f t="shared" si="4"/>
        <v>7657041642496</v>
      </c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3">
        <f>'Solar Power Plant Data'!A400</f>
        <v>42856.08333</v>
      </c>
      <c r="B400" s="19">
        <f>'Solar Power Plant Data'!H400</f>
        <v>2471667</v>
      </c>
      <c r="C400" s="19">
        <f t="shared" si="1"/>
        <v>1825001</v>
      </c>
      <c r="D400" s="19">
        <f t="shared" si="2"/>
        <v>646666</v>
      </c>
      <c r="E400" s="21">
        <f t="shared" si="3"/>
        <v>646666</v>
      </c>
      <c r="F400" s="21">
        <f t="shared" si="4"/>
        <v>418176915556</v>
      </c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3">
        <f>'Solar Power Plant Data'!A401</f>
        <v>42857.08333</v>
      </c>
      <c r="B401" s="19">
        <f>'Solar Power Plant Data'!H401</f>
        <v>323334</v>
      </c>
      <c r="C401" s="19">
        <f t="shared" si="1"/>
        <v>122</v>
      </c>
      <c r="D401" s="19">
        <f t="shared" si="2"/>
        <v>323212</v>
      </c>
      <c r="E401" s="21">
        <f t="shared" si="3"/>
        <v>323212</v>
      </c>
      <c r="F401" s="21">
        <f t="shared" si="4"/>
        <v>104465996944</v>
      </c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3">
        <f>'Solar Power Plant Data'!A402</f>
        <v>42858.08333</v>
      </c>
      <c r="B402" s="19">
        <f>'Solar Power Plant Data'!H402</f>
        <v>0</v>
      </c>
      <c r="C402" s="19">
        <f t="shared" si="1"/>
        <v>61667</v>
      </c>
      <c r="D402" s="19">
        <f t="shared" si="2"/>
        <v>-61667</v>
      </c>
      <c r="E402" s="21">
        <f t="shared" si="3"/>
        <v>61667</v>
      </c>
      <c r="F402" s="21">
        <f t="shared" si="4"/>
        <v>3802818889</v>
      </c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3">
        <f>'Solar Power Plant Data'!A403</f>
        <v>42859.08333</v>
      </c>
      <c r="B403" s="19">
        <f>'Solar Power Plant Data'!H403</f>
        <v>0</v>
      </c>
      <c r="C403" s="19">
        <f t="shared" si="1"/>
        <v>0</v>
      </c>
      <c r="D403" s="19">
        <f t="shared" si="2"/>
        <v>0</v>
      </c>
      <c r="E403" s="21">
        <f t="shared" si="3"/>
        <v>0</v>
      </c>
      <c r="F403" s="21">
        <f t="shared" si="4"/>
        <v>0</v>
      </c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3">
        <f>'Solar Power Plant Data'!A404</f>
        <v>42860.08333</v>
      </c>
      <c r="B404" s="19">
        <f>'Solar Power Plant Data'!H404</f>
        <v>0</v>
      </c>
      <c r="C404" s="19">
        <f t="shared" si="1"/>
        <v>0</v>
      </c>
      <c r="D404" s="19">
        <f t="shared" si="2"/>
        <v>0</v>
      </c>
      <c r="E404" s="21">
        <f t="shared" si="3"/>
        <v>0</v>
      </c>
      <c r="F404" s="21">
        <f t="shared" si="4"/>
        <v>0</v>
      </c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3">
        <f>'Solar Power Plant Data'!A405</f>
        <v>42861.08333</v>
      </c>
      <c r="B405" s="19">
        <f>'Solar Power Plant Data'!H405</f>
        <v>0</v>
      </c>
      <c r="C405" s="19">
        <f t="shared" si="1"/>
        <v>0</v>
      </c>
      <c r="D405" s="19">
        <f t="shared" si="2"/>
        <v>0</v>
      </c>
      <c r="E405" s="21">
        <f t="shared" si="3"/>
        <v>0</v>
      </c>
      <c r="F405" s="21">
        <f t="shared" si="4"/>
        <v>0</v>
      </c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3">
        <f>'Solar Power Plant Data'!A406</f>
        <v>42862.08333</v>
      </c>
      <c r="B406" s="19">
        <f>'Solar Power Plant Data'!H406</f>
        <v>0</v>
      </c>
      <c r="C406" s="19">
        <f t="shared" si="1"/>
        <v>0</v>
      </c>
      <c r="D406" s="19">
        <f t="shared" si="2"/>
        <v>0</v>
      </c>
      <c r="E406" s="21">
        <f t="shared" si="3"/>
        <v>0</v>
      </c>
      <c r="F406" s="21">
        <f t="shared" si="4"/>
        <v>0</v>
      </c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3">
        <f>'Solar Power Plant Data'!A407</f>
        <v>42863.08333</v>
      </c>
      <c r="B407" s="19">
        <f>'Solar Power Plant Data'!H407</f>
        <v>0</v>
      </c>
      <c r="C407" s="19">
        <f t="shared" si="1"/>
        <v>0</v>
      </c>
      <c r="D407" s="19">
        <f t="shared" si="2"/>
        <v>0</v>
      </c>
      <c r="E407" s="21">
        <f t="shared" si="3"/>
        <v>0</v>
      </c>
      <c r="F407" s="21">
        <f t="shared" si="4"/>
        <v>0</v>
      </c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3">
        <f>'Solar Power Plant Data'!A408</f>
        <v>42864.08333</v>
      </c>
      <c r="B408" s="19">
        <f>'Solar Power Plant Data'!H408</f>
        <v>0</v>
      </c>
      <c r="C408" s="19">
        <f t="shared" si="1"/>
        <v>0</v>
      </c>
      <c r="D408" s="19">
        <f t="shared" si="2"/>
        <v>0</v>
      </c>
      <c r="E408" s="21">
        <f t="shared" si="3"/>
        <v>0</v>
      </c>
      <c r="F408" s="21">
        <f t="shared" si="4"/>
        <v>0</v>
      </c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3">
        <f>'Solar Power Plant Data'!A409</f>
        <v>42865.08333</v>
      </c>
      <c r="B409" s="19">
        <f>'Solar Power Plant Data'!H409</f>
        <v>0</v>
      </c>
      <c r="C409" s="19">
        <f t="shared" si="1"/>
        <v>0</v>
      </c>
      <c r="D409" s="19">
        <f t="shared" si="2"/>
        <v>0</v>
      </c>
      <c r="E409" s="21">
        <f t="shared" si="3"/>
        <v>0</v>
      </c>
      <c r="F409" s="21">
        <f t="shared" si="4"/>
        <v>0</v>
      </c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3">
        <f>'Solar Power Plant Data'!A410</f>
        <v>42866.08333</v>
      </c>
      <c r="B410" s="19">
        <f>'Solar Power Plant Data'!H410</f>
        <v>0</v>
      </c>
      <c r="C410" s="19">
        <f t="shared" si="1"/>
        <v>0</v>
      </c>
      <c r="D410" s="19">
        <f t="shared" si="2"/>
        <v>0</v>
      </c>
      <c r="E410" s="21">
        <f t="shared" si="3"/>
        <v>0</v>
      </c>
      <c r="F410" s="21">
        <f t="shared" si="4"/>
        <v>0</v>
      </c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3">
        <f>'Solar Power Plant Data'!A411</f>
        <v>42867.08333</v>
      </c>
      <c r="B411" s="19">
        <f>'Solar Power Plant Data'!H411</f>
        <v>0</v>
      </c>
      <c r="C411" s="19">
        <f t="shared" si="1"/>
        <v>0</v>
      </c>
      <c r="D411" s="19">
        <f t="shared" si="2"/>
        <v>0</v>
      </c>
      <c r="E411" s="21">
        <f t="shared" si="3"/>
        <v>0</v>
      </c>
      <c r="F411" s="21">
        <f t="shared" si="4"/>
        <v>0</v>
      </c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3">
        <f>'Solar Power Plant Data'!A412</f>
        <v>42868.08333</v>
      </c>
      <c r="B412" s="19">
        <f>'Solar Power Plant Data'!H412</f>
        <v>0</v>
      </c>
      <c r="C412" s="19">
        <f t="shared" si="1"/>
        <v>0</v>
      </c>
      <c r="D412" s="19">
        <f t="shared" si="2"/>
        <v>0</v>
      </c>
      <c r="E412" s="21">
        <f t="shared" si="3"/>
        <v>0</v>
      </c>
      <c r="F412" s="21">
        <f t="shared" si="4"/>
        <v>0</v>
      </c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3">
        <f>'Solar Power Plant Data'!A413</f>
        <v>42869.08333</v>
      </c>
      <c r="B413" s="19">
        <f>'Solar Power Plant Data'!H413</f>
        <v>0</v>
      </c>
      <c r="C413" s="19">
        <f t="shared" si="1"/>
        <v>0</v>
      </c>
      <c r="D413" s="19">
        <f t="shared" si="2"/>
        <v>0</v>
      </c>
      <c r="E413" s="21">
        <f t="shared" si="3"/>
        <v>0</v>
      </c>
      <c r="F413" s="21">
        <f t="shared" si="4"/>
        <v>0</v>
      </c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3">
        <f>'Solar Power Plant Data'!A414</f>
        <v>42870.08333</v>
      </c>
      <c r="B414" s="19">
        <f>'Solar Power Plant Data'!H414</f>
        <v>0</v>
      </c>
      <c r="C414" s="19">
        <f t="shared" si="1"/>
        <v>0</v>
      </c>
      <c r="D414" s="19">
        <f t="shared" si="2"/>
        <v>0</v>
      </c>
      <c r="E414" s="21">
        <f t="shared" si="3"/>
        <v>0</v>
      </c>
      <c r="F414" s="21">
        <f t="shared" si="4"/>
        <v>0</v>
      </c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3">
        <f>'Solar Power Plant Data'!A415</f>
        <v>42871.08333</v>
      </c>
      <c r="B415" s="19">
        <f>'Solar Power Plant Data'!H415</f>
        <v>0</v>
      </c>
      <c r="C415" s="19">
        <f t="shared" si="1"/>
        <v>0</v>
      </c>
      <c r="D415" s="19">
        <f t="shared" si="2"/>
        <v>0</v>
      </c>
      <c r="E415" s="21">
        <f t="shared" si="3"/>
        <v>0</v>
      </c>
      <c r="F415" s="21">
        <f t="shared" si="4"/>
        <v>0</v>
      </c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3">
        <f>'Solar Power Plant Data'!A416</f>
        <v>42872.08333</v>
      </c>
      <c r="B416" s="19">
        <f>'Solar Power Plant Data'!H416</f>
        <v>0</v>
      </c>
      <c r="C416" s="19">
        <f t="shared" si="1"/>
        <v>0</v>
      </c>
      <c r="D416" s="19">
        <f t="shared" si="2"/>
        <v>0</v>
      </c>
      <c r="E416" s="21">
        <f t="shared" si="3"/>
        <v>0</v>
      </c>
      <c r="F416" s="21">
        <f t="shared" si="4"/>
        <v>0</v>
      </c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3">
        <f>'Solar Power Plant Data'!A417</f>
        <v>42873.08333</v>
      </c>
      <c r="B417" s="19">
        <f>'Solar Power Plant Data'!H417</f>
        <v>0</v>
      </c>
      <c r="C417" s="19">
        <f t="shared" si="1"/>
        <v>0</v>
      </c>
      <c r="D417" s="19">
        <f t="shared" si="2"/>
        <v>0</v>
      </c>
      <c r="E417" s="21">
        <f t="shared" si="3"/>
        <v>0</v>
      </c>
      <c r="F417" s="21">
        <f t="shared" si="4"/>
        <v>0</v>
      </c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3">
        <f>'Solar Power Plant Data'!A418</f>
        <v>42874.08333</v>
      </c>
      <c r="B418" s="19">
        <f>'Solar Power Plant Data'!H418</f>
        <v>0</v>
      </c>
      <c r="C418" s="19">
        <f t="shared" si="1"/>
        <v>0</v>
      </c>
      <c r="D418" s="19">
        <f t="shared" si="2"/>
        <v>0</v>
      </c>
      <c r="E418" s="21">
        <f t="shared" si="3"/>
        <v>0</v>
      </c>
      <c r="F418" s="21">
        <f t="shared" si="4"/>
        <v>0</v>
      </c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3">
        <f>'Solar Power Plant Data'!A419</f>
        <v>42875.08333</v>
      </c>
      <c r="B419" s="19">
        <f>'Solar Power Plant Data'!H419</f>
        <v>0</v>
      </c>
      <c r="C419" s="19">
        <f t="shared" si="1"/>
        <v>0</v>
      </c>
      <c r="D419" s="19">
        <f t="shared" si="2"/>
        <v>0</v>
      </c>
      <c r="E419" s="21">
        <f t="shared" si="3"/>
        <v>0</v>
      </c>
      <c r="F419" s="21">
        <f t="shared" si="4"/>
        <v>0</v>
      </c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3">
        <f>'Solar Power Plant Data'!A420</f>
        <v>42876.08333</v>
      </c>
      <c r="B420" s="19">
        <f>'Solar Power Plant Data'!H420</f>
        <v>0</v>
      </c>
      <c r="C420" s="19">
        <f t="shared" si="1"/>
        <v>0</v>
      </c>
      <c r="D420" s="19">
        <f t="shared" si="2"/>
        <v>0</v>
      </c>
      <c r="E420" s="21">
        <f t="shared" si="3"/>
        <v>0</v>
      </c>
      <c r="F420" s="21">
        <f t="shared" si="4"/>
        <v>0</v>
      </c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3">
        <f>'Solar Power Plant Data'!A421</f>
        <v>42877.08333</v>
      </c>
      <c r="B421" s="19">
        <f>'Solar Power Plant Data'!H421</f>
        <v>489</v>
      </c>
      <c r="C421" s="19">
        <f t="shared" si="1"/>
        <v>218</v>
      </c>
      <c r="D421" s="19">
        <f t="shared" si="2"/>
        <v>271</v>
      </c>
      <c r="E421" s="21">
        <f t="shared" si="3"/>
        <v>271</v>
      </c>
      <c r="F421" s="21">
        <f t="shared" si="4"/>
        <v>73441</v>
      </c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3">
        <f>'Solar Power Plant Data'!A422</f>
        <v>42878.08333</v>
      </c>
      <c r="B422" s="19">
        <f>'Solar Power Plant Data'!H422</f>
        <v>5584999</v>
      </c>
      <c r="C422" s="19">
        <f t="shared" si="1"/>
        <v>328</v>
      </c>
      <c r="D422" s="19">
        <f t="shared" si="2"/>
        <v>5584671</v>
      </c>
      <c r="E422" s="21">
        <f t="shared" si="3"/>
        <v>5584671</v>
      </c>
      <c r="F422" s="21">
        <f t="shared" si="4"/>
        <v>31188550178241</v>
      </c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3">
        <f>'Solar Power Plant Data'!A423</f>
        <v>42879.08333</v>
      </c>
      <c r="B423" s="19">
        <f>'Solar Power Plant Data'!H423</f>
        <v>6256666</v>
      </c>
      <c r="C423" s="19">
        <f t="shared" si="1"/>
        <v>2768334</v>
      </c>
      <c r="D423" s="19">
        <f t="shared" si="2"/>
        <v>3488332</v>
      </c>
      <c r="E423" s="21">
        <f t="shared" si="3"/>
        <v>3488332</v>
      </c>
      <c r="F423" s="21">
        <f t="shared" si="4"/>
        <v>12168460142224</v>
      </c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3">
        <f>'Solar Power Plant Data'!A424</f>
        <v>42880.08333</v>
      </c>
      <c r="B424" s="19">
        <f>'Solar Power Plant Data'!H424</f>
        <v>5738333</v>
      </c>
      <c r="C424" s="19">
        <f t="shared" si="1"/>
        <v>2471667</v>
      </c>
      <c r="D424" s="19">
        <f t="shared" si="2"/>
        <v>3266666</v>
      </c>
      <c r="E424" s="21">
        <f t="shared" si="3"/>
        <v>3266666</v>
      </c>
      <c r="F424" s="21">
        <f t="shared" si="4"/>
        <v>10671106755556</v>
      </c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3">
        <f>'Solar Power Plant Data'!A425</f>
        <v>42881.08333</v>
      </c>
      <c r="B425" s="19">
        <f>'Solar Power Plant Data'!H425</f>
        <v>4783333</v>
      </c>
      <c r="C425" s="19">
        <f t="shared" si="1"/>
        <v>323334</v>
      </c>
      <c r="D425" s="19">
        <f t="shared" si="2"/>
        <v>4459999</v>
      </c>
      <c r="E425" s="21">
        <f t="shared" si="3"/>
        <v>4459999</v>
      </c>
      <c r="F425" s="21">
        <f t="shared" si="4"/>
        <v>19891591080001</v>
      </c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3">
        <f>'Solar Power Plant Data'!A426</f>
        <v>42882.08333</v>
      </c>
      <c r="B426" s="19">
        <f>'Solar Power Plant Data'!H426</f>
        <v>726667</v>
      </c>
      <c r="C426" s="19">
        <f t="shared" si="1"/>
        <v>0</v>
      </c>
      <c r="D426" s="19">
        <f t="shared" si="2"/>
        <v>726667</v>
      </c>
      <c r="E426" s="21">
        <f t="shared" si="3"/>
        <v>726667</v>
      </c>
      <c r="F426" s="21">
        <f t="shared" si="4"/>
        <v>528044928889</v>
      </c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3">
        <f>'Solar Power Plant Data'!A427</f>
        <v>42883.08333</v>
      </c>
      <c r="B427" s="19">
        <f>'Solar Power Plant Data'!H427</f>
        <v>0</v>
      </c>
      <c r="C427" s="19">
        <f t="shared" si="1"/>
        <v>0</v>
      </c>
      <c r="D427" s="19">
        <f t="shared" si="2"/>
        <v>0</v>
      </c>
      <c r="E427" s="21">
        <f t="shared" si="3"/>
        <v>0</v>
      </c>
      <c r="F427" s="21">
        <f t="shared" si="4"/>
        <v>0</v>
      </c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3">
        <f>'Solar Power Plant Data'!A428</f>
        <v>42884.08333</v>
      </c>
      <c r="B428" s="19">
        <f>'Solar Power Plant Data'!H428</f>
        <v>0</v>
      </c>
      <c r="C428" s="19">
        <f t="shared" si="1"/>
        <v>0</v>
      </c>
      <c r="D428" s="19">
        <f t="shared" si="2"/>
        <v>0</v>
      </c>
      <c r="E428" s="21">
        <f t="shared" si="3"/>
        <v>0</v>
      </c>
      <c r="F428" s="21">
        <f t="shared" si="4"/>
        <v>0</v>
      </c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3">
        <f>'Solar Power Plant Data'!A429</f>
        <v>42885.08333</v>
      </c>
      <c r="B429" s="19">
        <f>'Solar Power Plant Data'!H429</f>
        <v>0</v>
      </c>
      <c r="C429" s="19">
        <f t="shared" si="1"/>
        <v>0</v>
      </c>
      <c r="D429" s="19">
        <f t="shared" si="2"/>
        <v>0</v>
      </c>
      <c r="E429" s="21">
        <f t="shared" si="3"/>
        <v>0</v>
      </c>
      <c r="F429" s="21">
        <f t="shared" si="4"/>
        <v>0</v>
      </c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3">
        <f>'Solar Power Plant Data'!A430</f>
        <v>42886.08333</v>
      </c>
      <c r="B430" s="19">
        <f>'Solar Power Plant Data'!H430</f>
        <v>0</v>
      </c>
      <c r="C430" s="19">
        <f t="shared" si="1"/>
        <v>0</v>
      </c>
      <c r="D430" s="19">
        <f t="shared" si="2"/>
        <v>0</v>
      </c>
      <c r="E430" s="21">
        <f t="shared" si="3"/>
        <v>0</v>
      </c>
      <c r="F430" s="21">
        <f t="shared" si="4"/>
        <v>0</v>
      </c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3">
        <f>'Solar Power Plant Data'!A431</f>
        <v>42887.08333</v>
      </c>
      <c r="B431" s="19">
        <f>'Solar Power Plant Data'!H431</f>
        <v>0</v>
      </c>
      <c r="C431" s="19">
        <f t="shared" si="1"/>
        <v>0</v>
      </c>
      <c r="D431" s="19">
        <f t="shared" si="2"/>
        <v>0</v>
      </c>
      <c r="E431" s="21">
        <f t="shared" si="3"/>
        <v>0</v>
      </c>
      <c r="F431" s="21">
        <f t="shared" si="4"/>
        <v>0</v>
      </c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3">
        <f>'Solar Power Plant Data'!A432</f>
        <v>42888.08333</v>
      </c>
      <c r="B432" s="19">
        <f>'Solar Power Plant Data'!H432</f>
        <v>0</v>
      </c>
      <c r="C432" s="19">
        <f t="shared" si="1"/>
        <v>0</v>
      </c>
      <c r="D432" s="19">
        <f t="shared" si="2"/>
        <v>0</v>
      </c>
      <c r="E432" s="21">
        <f t="shared" si="3"/>
        <v>0</v>
      </c>
      <c r="F432" s="21">
        <f t="shared" si="4"/>
        <v>0</v>
      </c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3">
        <f>'Solar Power Plant Data'!A433</f>
        <v>42889.08333</v>
      </c>
      <c r="B433" s="19">
        <f>'Solar Power Plant Data'!H433</f>
        <v>0</v>
      </c>
      <c r="C433" s="19">
        <f t="shared" si="1"/>
        <v>0</v>
      </c>
      <c r="D433" s="19">
        <f t="shared" si="2"/>
        <v>0</v>
      </c>
      <c r="E433" s="21">
        <f t="shared" si="3"/>
        <v>0</v>
      </c>
      <c r="F433" s="21">
        <f t="shared" si="4"/>
        <v>0</v>
      </c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3">
        <f>'Solar Power Plant Data'!A434</f>
        <v>42890.08333</v>
      </c>
      <c r="B434" s="19">
        <f>'Solar Power Plant Data'!H434</f>
        <v>0</v>
      </c>
      <c r="C434" s="19">
        <f t="shared" si="1"/>
        <v>0</v>
      </c>
      <c r="D434" s="19">
        <f t="shared" si="2"/>
        <v>0</v>
      </c>
      <c r="E434" s="21">
        <f t="shared" si="3"/>
        <v>0</v>
      </c>
      <c r="F434" s="21">
        <f t="shared" si="4"/>
        <v>0</v>
      </c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3">
        <f>'Solar Power Plant Data'!A435</f>
        <v>42891.08333</v>
      </c>
      <c r="B435" s="19">
        <f>'Solar Power Plant Data'!H435</f>
        <v>0</v>
      </c>
      <c r="C435" s="19">
        <f t="shared" si="1"/>
        <v>0</v>
      </c>
      <c r="D435" s="19">
        <f t="shared" si="2"/>
        <v>0</v>
      </c>
      <c r="E435" s="21">
        <f t="shared" si="3"/>
        <v>0</v>
      </c>
      <c r="F435" s="21">
        <f t="shared" si="4"/>
        <v>0</v>
      </c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3">
        <f>'Solar Power Plant Data'!A436</f>
        <v>42892.08333</v>
      </c>
      <c r="B436" s="19">
        <f>'Solar Power Plant Data'!H436</f>
        <v>0</v>
      </c>
      <c r="C436" s="19">
        <f t="shared" si="1"/>
        <v>0</v>
      </c>
      <c r="D436" s="19">
        <f t="shared" si="2"/>
        <v>0</v>
      </c>
      <c r="E436" s="21">
        <f t="shared" si="3"/>
        <v>0</v>
      </c>
      <c r="F436" s="21">
        <f t="shared" si="4"/>
        <v>0</v>
      </c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3">
        <f>'Solar Power Plant Data'!A437</f>
        <v>42893.08333</v>
      </c>
      <c r="B437" s="19">
        <f>'Solar Power Plant Data'!H437</f>
        <v>0</v>
      </c>
      <c r="C437" s="19">
        <f t="shared" si="1"/>
        <v>0</v>
      </c>
      <c r="D437" s="19">
        <f t="shared" si="2"/>
        <v>0</v>
      </c>
      <c r="E437" s="21">
        <f t="shared" si="3"/>
        <v>0</v>
      </c>
      <c r="F437" s="21">
        <f t="shared" si="4"/>
        <v>0</v>
      </c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3">
        <f>'Solar Power Plant Data'!A438</f>
        <v>42894.08333</v>
      </c>
      <c r="B438" s="19">
        <f>'Solar Power Plant Data'!H438</f>
        <v>0</v>
      </c>
      <c r="C438" s="19">
        <f t="shared" si="1"/>
        <v>0</v>
      </c>
      <c r="D438" s="19">
        <f t="shared" si="2"/>
        <v>0</v>
      </c>
      <c r="E438" s="21">
        <f t="shared" si="3"/>
        <v>0</v>
      </c>
      <c r="F438" s="21">
        <f t="shared" si="4"/>
        <v>0</v>
      </c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3">
        <f>'Solar Power Plant Data'!A439</f>
        <v>42895.08333</v>
      </c>
      <c r="B439" s="19">
        <f>'Solar Power Plant Data'!H439</f>
        <v>0</v>
      </c>
      <c r="C439" s="19">
        <f t="shared" si="1"/>
        <v>0</v>
      </c>
      <c r="D439" s="19">
        <f t="shared" si="2"/>
        <v>0</v>
      </c>
      <c r="E439" s="21">
        <f t="shared" si="3"/>
        <v>0</v>
      </c>
      <c r="F439" s="21">
        <f t="shared" si="4"/>
        <v>0</v>
      </c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3">
        <f>'Solar Power Plant Data'!A440</f>
        <v>42896.08333</v>
      </c>
      <c r="B440" s="19">
        <f>'Solar Power Plant Data'!H440</f>
        <v>0</v>
      </c>
      <c r="C440" s="19">
        <f t="shared" si="1"/>
        <v>0</v>
      </c>
      <c r="D440" s="19">
        <f t="shared" si="2"/>
        <v>0</v>
      </c>
      <c r="E440" s="21">
        <f t="shared" si="3"/>
        <v>0</v>
      </c>
      <c r="F440" s="21">
        <f t="shared" si="4"/>
        <v>0</v>
      </c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3">
        <f>'Solar Power Plant Data'!A441</f>
        <v>42897.08333</v>
      </c>
      <c r="B441" s="19">
        <f>'Solar Power Plant Data'!H441</f>
        <v>0</v>
      </c>
      <c r="C441" s="19">
        <f t="shared" si="1"/>
        <v>0</v>
      </c>
      <c r="D441" s="19">
        <f t="shared" si="2"/>
        <v>0</v>
      </c>
      <c r="E441" s="21">
        <f t="shared" si="3"/>
        <v>0</v>
      </c>
      <c r="F441" s="21">
        <f t="shared" si="4"/>
        <v>0</v>
      </c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3">
        <f>'Solar Power Plant Data'!A442</f>
        <v>42898.08333</v>
      </c>
      <c r="B442" s="19">
        <f>'Solar Power Plant Data'!H442</f>
        <v>0</v>
      </c>
      <c r="C442" s="19">
        <f t="shared" si="1"/>
        <v>0</v>
      </c>
      <c r="D442" s="19">
        <f t="shared" si="2"/>
        <v>0</v>
      </c>
      <c r="E442" s="21">
        <f t="shared" si="3"/>
        <v>0</v>
      </c>
      <c r="F442" s="21">
        <f t="shared" si="4"/>
        <v>0</v>
      </c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3">
        <f>'Solar Power Plant Data'!A443</f>
        <v>42899.08333</v>
      </c>
      <c r="B443" s="19">
        <f>'Solar Power Plant Data'!H443</f>
        <v>0</v>
      </c>
      <c r="C443" s="19">
        <f t="shared" si="1"/>
        <v>0</v>
      </c>
      <c r="D443" s="19">
        <f t="shared" si="2"/>
        <v>0</v>
      </c>
      <c r="E443" s="21">
        <f t="shared" si="3"/>
        <v>0</v>
      </c>
      <c r="F443" s="21">
        <f t="shared" si="4"/>
        <v>0</v>
      </c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3">
        <f>'Solar Power Plant Data'!A444</f>
        <v>42900.08333</v>
      </c>
      <c r="B444" s="19">
        <f>'Solar Power Plant Data'!H444</f>
        <v>0</v>
      </c>
      <c r="C444" s="19">
        <f t="shared" si="1"/>
        <v>0</v>
      </c>
      <c r="D444" s="19">
        <f t="shared" si="2"/>
        <v>0</v>
      </c>
      <c r="E444" s="21">
        <f t="shared" si="3"/>
        <v>0</v>
      </c>
      <c r="F444" s="21">
        <f t="shared" si="4"/>
        <v>0</v>
      </c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3">
        <f>'Solar Power Plant Data'!A445</f>
        <v>42901.08333</v>
      </c>
      <c r="B445" s="19">
        <f>'Solar Power Plant Data'!H445</f>
        <v>0</v>
      </c>
      <c r="C445" s="19">
        <f t="shared" si="1"/>
        <v>489</v>
      </c>
      <c r="D445" s="19">
        <f t="shared" si="2"/>
        <v>-489</v>
      </c>
      <c r="E445" s="21">
        <f t="shared" si="3"/>
        <v>489</v>
      </c>
      <c r="F445" s="21">
        <f t="shared" si="4"/>
        <v>239121</v>
      </c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3">
        <f>'Solar Power Plant Data'!A446</f>
        <v>42902.08333</v>
      </c>
      <c r="B446" s="19">
        <f>'Solar Power Plant Data'!H446</f>
        <v>0</v>
      </c>
      <c r="C446" s="19">
        <f t="shared" si="1"/>
        <v>5584999</v>
      </c>
      <c r="D446" s="19">
        <f t="shared" si="2"/>
        <v>-5584999</v>
      </c>
      <c r="E446" s="21">
        <f t="shared" si="3"/>
        <v>5584999</v>
      </c>
      <c r="F446" s="21">
        <f t="shared" si="4"/>
        <v>31192213830001</v>
      </c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3">
        <f>'Solar Power Plant Data'!A447</f>
        <v>42903.08333</v>
      </c>
      <c r="B447" s="19">
        <f>'Solar Power Plant Data'!H447</f>
        <v>124</v>
      </c>
      <c r="C447" s="19">
        <f t="shared" si="1"/>
        <v>6256666</v>
      </c>
      <c r="D447" s="19">
        <f t="shared" si="2"/>
        <v>-6256542</v>
      </c>
      <c r="E447" s="21">
        <f t="shared" si="3"/>
        <v>6256542</v>
      </c>
      <c r="F447" s="21">
        <f t="shared" si="4"/>
        <v>39144317797764</v>
      </c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3">
        <f>'Solar Power Plant Data'!A448</f>
        <v>42904.08333</v>
      </c>
      <c r="B448" s="19">
        <f>'Solar Power Plant Data'!H448</f>
        <v>1441666</v>
      </c>
      <c r="C448" s="19">
        <f t="shared" si="1"/>
        <v>5738333</v>
      </c>
      <c r="D448" s="19">
        <f t="shared" si="2"/>
        <v>-4296667</v>
      </c>
      <c r="E448" s="21">
        <f t="shared" si="3"/>
        <v>4296667</v>
      </c>
      <c r="F448" s="21">
        <f t="shared" si="4"/>
        <v>18461347308889</v>
      </c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3">
        <f>'Solar Power Plant Data'!A449</f>
        <v>42905.08333</v>
      </c>
      <c r="B449" s="19">
        <f>'Solar Power Plant Data'!H449</f>
        <v>58</v>
      </c>
      <c r="C449" s="19">
        <f t="shared" si="1"/>
        <v>4783333</v>
      </c>
      <c r="D449" s="19">
        <f t="shared" si="2"/>
        <v>-4783275</v>
      </c>
      <c r="E449" s="21">
        <f t="shared" si="3"/>
        <v>4783275</v>
      </c>
      <c r="F449" s="21">
        <f t="shared" si="4"/>
        <v>22879719725625</v>
      </c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3">
        <f>'Solar Power Plant Data'!A450</f>
        <v>42906.08333</v>
      </c>
      <c r="B450" s="19">
        <f>'Solar Power Plant Data'!H450</f>
        <v>23333</v>
      </c>
      <c r="C450" s="19">
        <f t="shared" si="1"/>
        <v>726667</v>
      </c>
      <c r="D450" s="19">
        <f t="shared" si="2"/>
        <v>-703334</v>
      </c>
      <c r="E450" s="21">
        <f t="shared" si="3"/>
        <v>703334</v>
      </c>
      <c r="F450" s="21">
        <f t="shared" si="4"/>
        <v>494678715556</v>
      </c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3">
        <f>'Solar Power Plant Data'!A451</f>
        <v>42907.08333</v>
      </c>
      <c r="B451" s="19">
        <f>'Solar Power Plant Data'!H451</f>
        <v>0</v>
      </c>
      <c r="C451" s="19">
        <f t="shared" si="1"/>
        <v>0</v>
      </c>
      <c r="D451" s="19">
        <f t="shared" si="2"/>
        <v>0</v>
      </c>
      <c r="E451" s="21">
        <f t="shared" si="3"/>
        <v>0</v>
      </c>
      <c r="F451" s="21">
        <f t="shared" si="4"/>
        <v>0</v>
      </c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3">
        <f>'Solar Power Plant Data'!A452</f>
        <v>42908.08333</v>
      </c>
      <c r="B452" s="19">
        <f>'Solar Power Plant Data'!H452</f>
        <v>0</v>
      </c>
      <c r="C452" s="19">
        <f t="shared" si="1"/>
        <v>0</v>
      </c>
      <c r="D452" s="19">
        <f t="shared" si="2"/>
        <v>0</v>
      </c>
      <c r="E452" s="21">
        <f t="shared" si="3"/>
        <v>0</v>
      </c>
      <c r="F452" s="21">
        <f t="shared" si="4"/>
        <v>0</v>
      </c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3">
        <f>'Solar Power Plant Data'!A453</f>
        <v>42909.08333</v>
      </c>
      <c r="B453" s="19">
        <f>'Solar Power Plant Data'!H453</f>
        <v>0</v>
      </c>
      <c r="C453" s="19">
        <f t="shared" si="1"/>
        <v>0</v>
      </c>
      <c r="D453" s="19">
        <f t="shared" si="2"/>
        <v>0</v>
      </c>
      <c r="E453" s="21">
        <f t="shared" si="3"/>
        <v>0</v>
      </c>
      <c r="F453" s="21">
        <f t="shared" si="4"/>
        <v>0</v>
      </c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3">
        <f>'Solar Power Plant Data'!A454</f>
        <v>42910.08333</v>
      </c>
      <c r="B454" s="19">
        <f>'Solar Power Plant Data'!H454</f>
        <v>0</v>
      </c>
      <c r="C454" s="19">
        <f t="shared" si="1"/>
        <v>0</v>
      </c>
      <c r="D454" s="19">
        <f t="shared" si="2"/>
        <v>0</v>
      </c>
      <c r="E454" s="21">
        <f t="shared" si="3"/>
        <v>0</v>
      </c>
      <c r="F454" s="21">
        <f t="shared" si="4"/>
        <v>0</v>
      </c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3">
        <f>'Solar Power Plant Data'!A455</f>
        <v>42911.08333</v>
      </c>
      <c r="B455" s="19">
        <f>'Solar Power Plant Data'!H455</f>
        <v>0</v>
      </c>
      <c r="C455" s="19">
        <f t="shared" si="1"/>
        <v>0</v>
      </c>
      <c r="D455" s="19">
        <f t="shared" si="2"/>
        <v>0</v>
      </c>
      <c r="E455" s="21">
        <f t="shared" si="3"/>
        <v>0</v>
      </c>
      <c r="F455" s="21">
        <f t="shared" si="4"/>
        <v>0</v>
      </c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3">
        <f>'Solar Power Plant Data'!A456</f>
        <v>42912.08333</v>
      </c>
      <c r="B456" s="19">
        <f>'Solar Power Plant Data'!H456</f>
        <v>0</v>
      </c>
      <c r="C456" s="19">
        <f t="shared" si="1"/>
        <v>0</v>
      </c>
      <c r="D456" s="19">
        <f t="shared" si="2"/>
        <v>0</v>
      </c>
      <c r="E456" s="21">
        <f t="shared" si="3"/>
        <v>0</v>
      </c>
      <c r="F456" s="21">
        <f t="shared" si="4"/>
        <v>0</v>
      </c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3">
        <f>'Solar Power Plant Data'!A457</f>
        <v>42913.08333</v>
      </c>
      <c r="B457" s="19">
        <f>'Solar Power Plant Data'!H457</f>
        <v>0</v>
      </c>
      <c r="C457" s="19">
        <f t="shared" si="1"/>
        <v>0</v>
      </c>
      <c r="D457" s="19">
        <f t="shared" si="2"/>
        <v>0</v>
      </c>
      <c r="E457" s="21">
        <f t="shared" si="3"/>
        <v>0</v>
      </c>
      <c r="F457" s="21">
        <f t="shared" si="4"/>
        <v>0</v>
      </c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3">
        <f>'Solar Power Plant Data'!A458</f>
        <v>42914.08333</v>
      </c>
      <c r="B458" s="19">
        <f>'Solar Power Plant Data'!H458</f>
        <v>0</v>
      </c>
      <c r="C458" s="19">
        <f t="shared" si="1"/>
        <v>0</v>
      </c>
      <c r="D458" s="19">
        <f t="shared" si="2"/>
        <v>0</v>
      </c>
      <c r="E458" s="21">
        <f t="shared" si="3"/>
        <v>0</v>
      </c>
      <c r="F458" s="21">
        <f t="shared" si="4"/>
        <v>0</v>
      </c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3">
        <f>'Solar Power Plant Data'!A459</f>
        <v>42915.08333</v>
      </c>
      <c r="B459" s="19">
        <f>'Solar Power Plant Data'!H459</f>
        <v>0</v>
      </c>
      <c r="C459" s="19">
        <f t="shared" si="1"/>
        <v>0</v>
      </c>
      <c r="D459" s="19">
        <f t="shared" si="2"/>
        <v>0</v>
      </c>
      <c r="E459" s="21">
        <f t="shared" si="3"/>
        <v>0</v>
      </c>
      <c r="F459" s="21">
        <f t="shared" si="4"/>
        <v>0</v>
      </c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3">
        <f>'Solar Power Plant Data'!A460</f>
        <v>42916.08333</v>
      </c>
      <c r="B460" s="19">
        <f>'Solar Power Plant Data'!H460</f>
        <v>0</v>
      </c>
      <c r="C460" s="19">
        <f t="shared" si="1"/>
        <v>0</v>
      </c>
      <c r="D460" s="19">
        <f t="shared" si="2"/>
        <v>0</v>
      </c>
      <c r="E460" s="21">
        <f t="shared" si="3"/>
        <v>0</v>
      </c>
      <c r="F460" s="21">
        <f t="shared" si="4"/>
        <v>0</v>
      </c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3">
        <f>'Solar Power Plant Data'!A461</f>
        <v>42917.08333</v>
      </c>
      <c r="B461" s="19">
        <f>'Solar Power Plant Data'!H461</f>
        <v>0</v>
      </c>
      <c r="C461" s="19">
        <f t="shared" si="1"/>
        <v>0</v>
      </c>
      <c r="D461" s="19">
        <f t="shared" si="2"/>
        <v>0</v>
      </c>
      <c r="E461" s="21">
        <f t="shared" si="3"/>
        <v>0</v>
      </c>
      <c r="F461" s="21">
        <f t="shared" si="4"/>
        <v>0</v>
      </c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3">
        <f>'Solar Power Plant Data'!A462</f>
        <v>42918.08333</v>
      </c>
      <c r="B462" s="19">
        <f>'Solar Power Plant Data'!H462</f>
        <v>0</v>
      </c>
      <c r="C462" s="19">
        <f t="shared" si="1"/>
        <v>0</v>
      </c>
      <c r="D462" s="19">
        <f t="shared" si="2"/>
        <v>0</v>
      </c>
      <c r="E462" s="21">
        <f t="shared" si="3"/>
        <v>0</v>
      </c>
      <c r="F462" s="21">
        <f t="shared" si="4"/>
        <v>0</v>
      </c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3">
        <f>'Solar Power Plant Data'!A463</f>
        <v>42919.08333</v>
      </c>
      <c r="B463" s="19">
        <f>'Solar Power Plant Data'!H463</f>
        <v>0</v>
      </c>
      <c r="C463" s="19">
        <f t="shared" si="1"/>
        <v>0</v>
      </c>
      <c r="D463" s="19">
        <f t="shared" si="2"/>
        <v>0</v>
      </c>
      <c r="E463" s="21">
        <f t="shared" si="3"/>
        <v>0</v>
      </c>
      <c r="F463" s="21">
        <f t="shared" si="4"/>
        <v>0</v>
      </c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3">
        <f>'Solar Power Plant Data'!A464</f>
        <v>42920.08333</v>
      </c>
      <c r="B464" s="19">
        <f>'Solar Power Plant Data'!H464</f>
        <v>0</v>
      </c>
      <c r="C464" s="19">
        <f t="shared" si="1"/>
        <v>0</v>
      </c>
      <c r="D464" s="19">
        <f t="shared" si="2"/>
        <v>0</v>
      </c>
      <c r="E464" s="21">
        <f t="shared" si="3"/>
        <v>0</v>
      </c>
      <c r="F464" s="21">
        <f t="shared" si="4"/>
        <v>0</v>
      </c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3">
        <f>'Solar Power Plant Data'!A465</f>
        <v>42921.08333</v>
      </c>
      <c r="B465" s="19">
        <f>'Solar Power Plant Data'!H465</f>
        <v>0</v>
      </c>
      <c r="C465" s="19">
        <f t="shared" si="1"/>
        <v>0</v>
      </c>
      <c r="D465" s="19">
        <f t="shared" si="2"/>
        <v>0</v>
      </c>
      <c r="E465" s="21">
        <f t="shared" si="3"/>
        <v>0</v>
      </c>
      <c r="F465" s="21">
        <f t="shared" si="4"/>
        <v>0</v>
      </c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3">
        <f>'Solar Power Plant Data'!A466</f>
        <v>42922.08333</v>
      </c>
      <c r="B466" s="19">
        <f>'Solar Power Plant Data'!H466</f>
        <v>0</v>
      </c>
      <c r="C466" s="19">
        <f t="shared" si="1"/>
        <v>0</v>
      </c>
      <c r="D466" s="19">
        <f t="shared" si="2"/>
        <v>0</v>
      </c>
      <c r="E466" s="21">
        <f t="shared" si="3"/>
        <v>0</v>
      </c>
      <c r="F466" s="21">
        <f t="shared" si="4"/>
        <v>0</v>
      </c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3">
        <f>'Solar Power Plant Data'!A467</f>
        <v>42923.08333</v>
      </c>
      <c r="B467" s="19">
        <f>'Solar Power Plant Data'!H467</f>
        <v>0</v>
      </c>
      <c r="C467" s="19">
        <f t="shared" si="1"/>
        <v>0</v>
      </c>
      <c r="D467" s="19">
        <f t="shared" si="2"/>
        <v>0</v>
      </c>
      <c r="E467" s="21">
        <f t="shared" si="3"/>
        <v>0</v>
      </c>
      <c r="F467" s="21">
        <f t="shared" si="4"/>
        <v>0</v>
      </c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3">
        <f>'Solar Power Plant Data'!A468</f>
        <v>42924.08333</v>
      </c>
      <c r="B468" s="19">
        <f>'Solar Power Plant Data'!H468</f>
        <v>0</v>
      </c>
      <c r="C468" s="19">
        <f t="shared" si="1"/>
        <v>0</v>
      </c>
      <c r="D468" s="19">
        <f t="shared" si="2"/>
        <v>0</v>
      </c>
      <c r="E468" s="21">
        <f t="shared" si="3"/>
        <v>0</v>
      </c>
      <c r="F468" s="21">
        <f t="shared" si="4"/>
        <v>0</v>
      </c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3">
        <f>'Solar Power Plant Data'!A469</f>
        <v>42925.08333</v>
      </c>
      <c r="B469" s="19">
        <f>'Solar Power Plant Data'!H469</f>
        <v>1723333</v>
      </c>
      <c r="C469" s="19">
        <f t="shared" si="1"/>
        <v>0</v>
      </c>
      <c r="D469" s="19">
        <f t="shared" si="2"/>
        <v>1723333</v>
      </c>
      <c r="E469" s="21">
        <f t="shared" si="3"/>
        <v>1723333</v>
      </c>
      <c r="F469" s="21">
        <f t="shared" si="4"/>
        <v>2969876628889</v>
      </c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3">
        <f>'Solar Power Plant Data'!A470</f>
        <v>42926.08333</v>
      </c>
      <c r="B470" s="19">
        <f>'Solar Power Plant Data'!H470</f>
        <v>5546666</v>
      </c>
      <c r="C470" s="19">
        <f t="shared" si="1"/>
        <v>0</v>
      </c>
      <c r="D470" s="19">
        <f t="shared" si="2"/>
        <v>5546666</v>
      </c>
      <c r="E470" s="21">
        <f t="shared" si="3"/>
        <v>5546666</v>
      </c>
      <c r="F470" s="21">
        <f t="shared" si="4"/>
        <v>30765503715556</v>
      </c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3">
        <f>'Solar Power Plant Data'!A471</f>
        <v>42927.08333</v>
      </c>
      <c r="B471" s="19">
        <f>'Solar Power Plant Data'!H471</f>
        <v>574</v>
      </c>
      <c r="C471" s="19">
        <f t="shared" si="1"/>
        <v>124</v>
      </c>
      <c r="D471" s="19">
        <f t="shared" si="2"/>
        <v>450</v>
      </c>
      <c r="E471" s="21">
        <f t="shared" si="3"/>
        <v>450</v>
      </c>
      <c r="F471" s="21">
        <f t="shared" si="4"/>
        <v>202500</v>
      </c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3">
        <f>'Solar Power Plant Data'!A472</f>
        <v>42928.08333</v>
      </c>
      <c r="B472" s="19">
        <f>'Solar Power Plant Data'!H472</f>
        <v>1398334</v>
      </c>
      <c r="C472" s="19">
        <f t="shared" si="1"/>
        <v>1441666</v>
      </c>
      <c r="D472" s="19">
        <f t="shared" si="2"/>
        <v>-43332</v>
      </c>
      <c r="E472" s="21">
        <f t="shared" si="3"/>
        <v>43332</v>
      </c>
      <c r="F472" s="21">
        <f t="shared" si="4"/>
        <v>1877662224</v>
      </c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3">
        <f>'Solar Power Plant Data'!A473</f>
        <v>42929.08333</v>
      </c>
      <c r="B473" s="19">
        <f>'Solar Power Plant Data'!H473</f>
        <v>396667</v>
      </c>
      <c r="C473" s="19">
        <f t="shared" si="1"/>
        <v>58</v>
      </c>
      <c r="D473" s="19">
        <f t="shared" si="2"/>
        <v>396609</v>
      </c>
      <c r="E473" s="21">
        <f t="shared" si="3"/>
        <v>396609</v>
      </c>
      <c r="F473" s="21">
        <f t="shared" si="4"/>
        <v>157298698881</v>
      </c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3">
        <f>'Solar Power Plant Data'!A474</f>
        <v>42930.08333</v>
      </c>
      <c r="B474" s="19">
        <f>'Solar Power Plant Data'!H474</f>
        <v>0</v>
      </c>
      <c r="C474" s="19">
        <f t="shared" si="1"/>
        <v>23333</v>
      </c>
      <c r="D474" s="19">
        <f t="shared" si="2"/>
        <v>-23333</v>
      </c>
      <c r="E474" s="21">
        <f t="shared" si="3"/>
        <v>23333</v>
      </c>
      <c r="F474" s="21">
        <f t="shared" si="4"/>
        <v>544428889</v>
      </c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3">
        <f>'Solar Power Plant Data'!A475</f>
        <v>42931.08333</v>
      </c>
      <c r="B475" s="19">
        <f>'Solar Power Plant Data'!H475</f>
        <v>0</v>
      </c>
      <c r="C475" s="19">
        <f t="shared" si="1"/>
        <v>0</v>
      </c>
      <c r="D475" s="19">
        <f t="shared" si="2"/>
        <v>0</v>
      </c>
      <c r="E475" s="21">
        <f t="shared" si="3"/>
        <v>0</v>
      </c>
      <c r="F475" s="21">
        <f t="shared" si="4"/>
        <v>0</v>
      </c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3">
        <f>'Solar Power Plant Data'!A476</f>
        <v>42932.08333</v>
      </c>
      <c r="B476" s="19">
        <f>'Solar Power Plant Data'!H476</f>
        <v>0</v>
      </c>
      <c r="C476" s="19">
        <f t="shared" si="1"/>
        <v>0</v>
      </c>
      <c r="D476" s="19">
        <f t="shared" si="2"/>
        <v>0</v>
      </c>
      <c r="E476" s="21">
        <f t="shared" si="3"/>
        <v>0</v>
      </c>
      <c r="F476" s="21">
        <f t="shared" si="4"/>
        <v>0</v>
      </c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3">
        <f>'Solar Power Plant Data'!A477</f>
        <v>42933.08333</v>
      </c>
      <c r="B477" s="19">
        <f>'Solar Power Plant Data'!H477</f>
        <v>0</v>
      </c>
      <c r="C477" s="19">
        <f t="shared" si="1"/>
        <v>0</v>
      </c>
      <c r="D477" s="19">
        <f t="shared" si="2"/>
        <v>0</v>
      </c>
      <c r="E477" s="21">
        <f t="shared" si="3"/>
        <v>0</v>
      </c>
      <c r="F477" s="21">
        <f t="shared" si="4"/>
        <v>0</v>
      </c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3">
        <f>'Solar Power Plant Data'!A478</f>
        <v>42934.08333</v>
      </c>
      <c r="B478" s="19">
        <f>'Solar Power Plant Data'!H478</f>
        <v>0</v>
      </c>
      <c r="C478" s="19">
        <f t="shared" si="1"/>
        <v>0</v>
      </c>
      <c r="D478" s="19">
        <f t="shared" si="2"/>
        <v>0</v>
      </c>
      <c r="E478" s="21">
        <f t="shared" si="3"/>
        <v>0</v>
      </c>
      <c r="F478" s="21">
        <f t="shared" si="4"/>
        <v>0</v>
      </c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3">
        <f>'Solar Power Plant Data'!A479</f>
        <v>42935.08333</v>
      </c>
      <c r="B479" s="19">
        <f>'Solar Power Plant Data'!H479</f>
        <v>0</v>
      </c>
      <c r="C479" s="19">
        <f t="shared" si="1"/>
        <v>0</v>
      </c>
      <c r="D479" s="19">
        <f t="shared" si="2"/>
        <v>0</v>
      </c>
      <c r="E479" s="21">
        <f t="shared" si="3"/>
        <v>0</v>
      </c>
      <c r="F479" s="21">
        <f t="shared" si="4"/>
        <v>0</v>
      </c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3">
        <f>'Solar Power Plant Data'!A480</f>
        <v>42936.08333</v>
      </c>
      <c r="B480" s="19">
        <f>'Solar Power Plant Data'!H480</f>
        <v>0</v>
      </c>
      <c r="C480" s="19">
        <f t="shared" si="1"/>
        <v>0</v>
      </c>
      <c r="D480" s="19">
        <f t="shared" si="2"/>
        <v>0</v>
      </c>
      <c r="E480" s="21">
        <f t="shared" si="3"/>
        <v>0</v>
      </c>
      <c r="F480" s="21">
        <f t="shared" si="4"/>
        <v>0</v>
      </c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3">
        <f>'Solar Power Plant Data'!A481</f>
        <v>42937.08333</v>
      </c>
      <c r="B481" s="19">
        <f>'Solar Power Plant Data'!H481</f>
        <v>0</v>
      </c>
      <c r="C481" s="19">
        <f t="shared" si="1"/>
        <v>0</v>
      </c>
      <c r="D481" s="19">
        <f t="shared" si="2"/>
        <v>0</v>
      </c>
      <c r="E481" s="21">
        <f t="shared" si="3"/>
        <v>0</v>
      </c>
      <c r="F481" s="21">
        <f t="shared" si="4"/>
        <v>0</v>
      </c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3">
        <f>'Solar Power Plant Data'!A482</f>
        <v>42938.08333</v>
      </c>
      <c r="B482" s="19">
        <f>'Solar Power Plant Data'!H482</f>
        <v>0</v>
      </c>
      <c r="C482" s="19">
        <f t="shared" si="1"/>
        <v>0</v>
      </c>
      <c r="D482" s="19">
        <f t="shared" si="2"/>
        <v>0</v>
      </c>
      <c r="E482" s="21">
        <f t="shared" si="3"/>
        <v>0</v>
      </c>
      <c r="F482" s="21">
        <f t="shared" si="4"/>
        <v>0</v>
      </c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3">
        <f>'Solar Power Plant Data'!A483</f>
        <v>42939.08333</v>
      </c>
      <c r="B483" s="19">
        <f>'Solar Power Plant Data'!H483</f>
        <v>0</v>
      </c>
      <c r="C483" s="19">
        <f t="shared" si="1"/>
        <v>0</v>
      </c>
      <c r="D483" s="19">
        <f t="shared" si="2"/>
        <v>0</v>
      </c>
      <c r="E483" s="21">
        <f t="shared" si="3"/>
        <v>0</v>
      </c>
      <c r="F483" s="21">
        <f t="shared" si="4"/>
        <v>0</v>
      </c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3">
        <f>'Solar Power Plant Data'!A484</f>
        <v>42940.08333</v>
      </c>
      <c r="B484" s="19">
        <f>'Solar Power Plant Data'!H484</f>
        <v>0</v>
      </c>
      <c r="C484" s="19">
        <f t="shared" si="1"/>
        <v>0</v>
      </c>
      <c r="D484" s="19">
        <f t="shared" si="2"/>
        <v>0</v>
      </c>
      <c r="E484" s="21">
        <f t="shared" si="3"/>
        <v>0</v>
      </c>
      <c r="F484" s="21">
        <f t="shared" si="4"/>
        <v>0</v>
      </c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3">
        <f>'Solar Power Plant Data'!A485</f>
        <v>42941.08333</v>
      </c>
      <c r="B485" s="19">
        <f>'Solar Power Plant Data'!H485</f>
        <v>0</v>
      </c>
      <c r="C485" s="19">
        <f t="shared" si="1"/>
        <v>0</v>
      </c>
      <c r="D485" s="19">
        <f t="shared" si="2"/>
        <v>0</v>
      </c>
      <c r="E485" s="21">
        <f t="shared" si="3"/>
        <v>0</v>
      </c>
      <c r="F485" s="21">
        <f t="shared" si="4"/>
        <v>0</v>
      </c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3">
        <f>'Solar Power Plant Data'!A486</f>
        <v>42942.08333</v>
      </c>
      <c r="B486" s="19">
        <f>'Solar Power Plant Data'!H486</f>
        <v>0</v>
      </c>
      <c r="C486" s="19">
        <f t="shared" si="1"/>
        <v>0</v>
      </c>
      <c r="D486" s="19">
        <f t="shared" si="2"/>
        <v>0</v>
      </c>
      <c r="E486" s="21">
        <f t="shared" si="3"/>
        <v>0</v>
      </c>
      <c r="F486" s="21">
        <f t="shared" si="4"/>
        <v>0</v>
      </c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3">
        <f>'Solar Power Plant Data'!A487</f>
        <v>42943.08333</v>
      </c>
      <c r="B487" s="19">
        <f>'Solar Power Plant Data'!H487</f>
        <v>0</v>
      </c>
      <c r="C487" s="19">
        <f t="shared" si="1"/>
        <v>0</v>
      </c>
      <c r="D487" s="19">
        <f t="shared" si="2"/>
        <v>0</v>
      </c>
      <c r="E487" s="21">
        <f t="shared" si="3"/>
        <v>0</v>
      </c>
      <c r="F487" s="21">
        <f t="shared" si="4"/>
        <v>0</v>
      </c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3">
        <f>'Solar Power Plant Data'!A488</f>
        <v>42944.08333</v>
      </c>
      <c r="B488" s="19">
        <f>'Solar Power Plant Data'!H488</f>
        <v>0</v>
      </c>
      <c r="C488" s="19">
        <f t="shared" si="1"/>
        <v>0</v>
      </c>
      <c r="D488" s="19">
        <f t="shared" si="2"/>
        <v>0</v>
      </c>
      <c r="E488" s="21">
        <f t="shared" si="3"/>
        <v>0</v>
      </c>
      <c r="F488" s="21">
        <f t="shared" si="4"/>
        <v>0</v>
      </c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3">
        <f>'Solar Power Plant Data'!A489</f>
        <v>42945.08333</v>
      </c>
      <c r="B489" s="19">
        <f>'Solar Power Plant Data'!H489</f>
        <v>0</v>
      </c>
      <c r="C489" s="19">
        <f t="shared" si="1"/>
        <v>0</v>
      </c>
      <c r="D489" s="19">
        <f t="shared" si="2"/>
        <v>0</v>
      </c>
      <c r="E489" s="21">
        <f t="shared" si="3"/>
        <v>0</v>
      </c>
      <c r="F489" s="21">
        <f t="shared" si="4"/>
        <v>0</v>
      </c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3">
        <f>'Solar Power Plant Data'!A490</f>
        <v>42946.08333</v>
      </c>
      <c r="B490" s="19">
        <f>'Solar Power Plant Data'!H490</f>
        <v>0</v>
      </c>
      <c r="C490" s="19">
        <f t="shared" si="1"/>
        <v>0</v>
      </c>
      <c r="D490" s="19">
        <f t="shared" si="2"/>
        <v>0</v>
      </c>
      <c r="E490" s="21">
        <f t="shared" si="3"/>
        <v>0</v>
      </c>
      <c r="F490" s="21">
        <f t="shared" si="4"/>
        <v>0</v>
      </c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3">
        <f>'Solar Power Plant Data'!A491</f>
        <v>42947.08333</v>
      </c>
      <c r="B491" s="19">
        <f>'Solar Power Plant Data'!H491</f>
        <v>0</v>
      </c>
      <c r="C491" s="19">
        <f t="shared" si="1"/>
        <v>0</v>
      </c>
      <c r="D491" s="19">
        <f t="shared" si="2"/>
        <v>0</v>
      </c>
      <c r="E491" s="21">
        <f t="shared" si="3"/>
        <v>0</v>
      </c>
      <c r="F491" s="21">
        <f t="shared" si="4"/>
        <v>0</v>
      </c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3">
        <f>'Solar Power Plant Data'!A492</f>
        <v>42948.08333</v>
      </c>
      <c r="B492" s="19">
        <f>'Solar Power Plant Data'!H492</f>
        <v>0</v>
      </c>
      <c r="C492" s="19">
        <f t="shared" si="1"/>
        <v>0</v>
      </c>
      <c r="D492" s="19">
        <f t="shared" si="2"/>
        <v>0</v>
      </c>
      <c r="E492" s="21">
        <f t="shared" si="3"/>
        <v>0</v>
      </c>
      <c r="F492" s="21">
        <f t="shared" si="4"/>
        <v>0</v>
      </c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3">
        <f>'Solar Power Plant Data'!A493</f>
        <v>42949.08333</v>
      </c>
      <c r="B493" s="19">
        <f>'Solar Power Plant Data'!H493</f>
        <v>184</v>
      </c>
      <c r="C493" s="19">
        <f t="shared" si="1"/>
        <v>1723333</v>
      </c>
      <c r="D493" s="19">
        <f t="shared" si="2"/>
        <v>-1723149</v>
      </c>
      <c r="E493" s="21">
        <f t="shared" si="3"/>
        <v>1723149</v>
      </c>
      <c r="F493" s="21">
        <f t="shared" si="4"/>
        <v>2969242476201</v>
      </c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3">
        <f>'Solar Power Plant Data'!A494</f>
        <v>42950.08333</v>
      </c>
      <c r="B494" s="19">
        <f>'Solar Power Plant Data'!H494</f>
        <v>13326666</v>
      </c>
      <c r="C494" s="19">
        <f t="shared" si="1"/>
        <v>5546666</v>
      </c>
      <c r="D494" s="19">
        <f t="shared" si="2"/>
        <v>7780000</v>
      </c>
      <c r="E494" s="21">
        <f t="shared" si="3"/>
        <v>7780000</v>
      </c>
      <c r="F494" s="21">
        <f t="shared" si="4"/>
        <v>60528400000000</v>
      </c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3">
        <f>'Solar Power Plant Data'!A495</f>
        <v>42951.08333</v>
      </c>
      <c r="B495" s="19">
        <f>'Solar Power Plant Data'!H495</f>
        <v>12028333</v>
      </c>
      <c r="C495" s="19">
        <f t="shared" si="1"/>
        <v>574</v>
      </c>
      <c r="D495" s="19">
        <f t="shared" si="2"/>
        <v>12027759</v>
      </c>
      <c r="E495" s="21">
        <f t="shared" si="3"/>
        <v>12027759</v>
      </c>
      <c r="F495" s="21">
        <f t="shared" si="4"/>
        <v>144666986562081</v>
      </c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3">
        <f>'Solar Power Plant Data'!A496</f>
        <v>42952.08333</v>
      </c>
      <c r="B496" s="19">
        <f>'Solar Power Plant Data'!H496</f>
        <v>394</v>
      </c>
      <c r="C496" s="19">
        <f t="shared" si="1"/>
        <v>1398334</v>
      </c>
      <c r="D496" s="19">
        <f t="shared" si="2"/>
        <v>-1397940</v>
      </c>
      <c r="E496" s="21">
        <f t="shared" si="3"/>
        <v>1397940</v>
      </c>
      <c r="F496" s="21">
        <f t="shared" si="4"/>
        <v>1954236243600</v>
      </c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3">
        <f>'Solar Power Plant Data'!A497</f>
        <v>42953.08333</v>
      </c>
      <c r="B497" s="19">
        <f>'Solar Power Plant Data'!H497</f>
        <v>3383332</v>
      </c>
      <c r="C497" s="19">
        <f t="shared" si="1"/>
        <v>396667</v>
      </c>
      <c r="D497" s="19">
        <f t="shared" si="2"/>
        <v>2986665</v>
      </c>
      <c r="E497" s="21">
        <f t="shared" si="3"/>
        <v>2986665</v>
      </c>
      <c r="F497" s="21">
        <f t="shared" si="4"/>
        <v>8920167822225</v>
      </c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3">
        <f>'Solar Power Plant Data'!A498</f>
        <v>42954.08333</v>
      </c>
      <c r="B498" s="19">
        <f>'Solar Power Plant Data'!H498</f>
        <v>428333</v>
      </c>
      <c r="C498" s="19">
        <f t="shared" si="1"/>
        <v>0</v>
      </c>
      <c r="D498" s="19">
        <f t="shared" si="2"/>
        <v>428333</v>
      </c>
      <c r="E498" s="21">
        <f t="shared" si="3"/>
        <v>428333</v>
      </c>
      <c r="F498" s="21">
        <f t="shared" si="4"/>
        <v>183469158889</v>
      </c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3">
        <f>'Solar Power Plant Data'!A499</f>
        <v>42955.08333</v>
      </c>
      <c r="B499" s="19">
        <f>'Solar Power Plant Data'!H499</f>
        <v>0</v>
      </c>
      <c r="C499" s="19">
        <f t="shared" si="1"/>
        <v>0</v>
      </c>
      <c r="D499" s="19">
        <f t="shared" si="2"/>
        <v>0</v>
      </c>
      <c r="E499" s="21">
        <f t="shared" si="3"/>
        <v>0</v>
      </c>
      <c r="F499" s="21">
        <f t="shared" si="4"/>
        <v>0</v>
      </c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3">
        <f>'Solar Power Plant Data'!A500</f>
        <v>42956.08333</v>
      </c>
      <c r="B500" s="19">
        <f>'Solar Power Plant Data'!H500</f>
        <v>0</v>
      </c>
      <c r="C500" s="19">
        <f t="shared" si="1"/>
        <v>0</v>
      </c>
      <c r="D500" s="19">
        <f t="shared" si="2"/>
        <v>0</v>
      </c>
      <c r="E500" s="21">
        <f t="shared" si="3"/>
        <v>0</v>
      </c>
      <c r="F500" s="21">
        <f t="shared" si="4"/>
        <v>0</v>
      </c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3">
        <f>'Solar Power Plant Data'!A501</f>
        <v>42957.08333</v>
      </c>
      <c r="B501" s="19">
        <f>'Solar Power Plant Data'!H501</f>
        <v>0</v>
      </c>
      <c r="C501" s="19">
        <f t="shared" si="1"/>
        <v>0</v>
      </c>
      <c r="D501" s="19">
        <f t="shared" si="2"/>
        <v>0</v>
      </c>
      <c r="E501" s="21">
        <f t="shared" si="3"/>
        <v>0</v>
      </c>
      <c r="F501" s="21">
        <f t="shared" si="4"/>
        <v>0</v>
      </c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3">
        <f>'Solar Power Plant Data'!A502</f>
        <v>42958.08333</v>
      </c>
      <c r="B502" s="19">
        <f>'Solar Power Plant Data'!H502</f>
        <v>0</v>
      </c>
      <c r="C502" s="19">
        <f t="shared" si="1"/>
        <v>0</v>
      </c>
      <c r="D502" s="19">
        <f t="shared" si="2"/>
        <v>0</v>
      </c>
      <c r="E502" s="21">
        <f t="shared" si="3"/>
        <v>0</v>
      </c>
      <c r="F502" s="21">
        <f t="shared" si="4"/>
        <v>0</v>
      </c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3">
        <f>'Solar Power Plant Data'!A503</f>
        <v>42959.08333</v>
      </c>
      <c r="B503" s="19">
        <f>'Solar Power Plant Data'!H503</f>
        <v>0</v>
      </c>
      <c r="C503" s="19">
        <f t="shared" si="1"/>
        <v>0</v>
      </c>
      <c r="D503" s="19">
        <f t="shared" si="2"/>
        <v>0</v>
      </c>
      <c r="E503" s="21">
        <f t="shared" si="3"/>
        <v>0</v>
      </c>
      <c r="F503" s="21">
        <f t="shared" si="4"/>
        <v>0</v>
      </c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3">
        <f>'Solar Power Plant Data'!A504</f>
        <v>42960.08333</v>
      </c>
      <c r="B504" s="19">
        <f>'Solar Power Plant Data'!H504</f>
        <v>0</v>
      </c>
      <c r="C504" s="19">
        <f t="shared" si="1"/>
        <v>0</v>
      </c>
      <c r="D504" s="19">
        <f t="shared" si="2"/>
        <v>0</v>
      </c>
      <c r="E504" s="21">
        <f t="shared" si="3"/>
        <v>0</v>
      </c>
      <c r="F504" s="21">
        <f t="shared" si="4"/>
        <v>0</v>
      </c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3">
        <f>'Solar Power Plant Data'!A505</f>
        <v>42961.08333</v>
      </c>
      <c r="B505" s="19">
        <f>'Solar Power Plant Data'!H505</f>
        <v>0</v>
      </c>
      <c r="C505" s="19">
        <f t="shared" si="1"/>
        <v>0</v>
      </c>
      <c r="D505" s="19">
        <f t="shared" si="2"/>
        <v>0</v>
      </c>
      <c r="E505" s="21">
        <f t="shared" si="3"/>
        <v>0</v>
      </c>
      <c r="F505" s="21">
        <f t="shared" si="4"/>
        <v>0</v>
      </c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3">
        <f>'Solar Power Plant Data'!A506</f>
        <v>42962.08333</v>
      </c>
      <c r="B506" s="19">
        <f>'Solar Power Plant Data'!H506</f>
        <v>0</v>
      </c>
      <c r="C506" s="19">
        <f t="shared" si="1"/>
        <v>0</v>
      </c>
      <c r="D506" s="19">
        <f t="shared" si="2"/>
        <v>0</v>
      </c>
      <c r="E506" s="21">
        <f t="shared" si="3"/>
        <v>0</v>
      </c>
      <c r="F506" s="21">
        <f t="shared" si="4"/>
        <v>0</v>
      </c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3">
        <f>'Solar Power Plant Data'!A507</f>
        <v>42963.08333</v>
      </c>
      <c r="B507" s="19">
        <f>'Solar Power Plant Data'!H507</f>
        <v>0</v>
      </c>
      <c r="C507" s="19">
        <f t="shared" si="1"/>
        <v>0</v>
      </c>
      <c r="D507" s="19">
        <f t="shared" si="2"/>
        <v>0</v>
      </c>
      <c r="E507" s="21">
        <f t="shared" si="3"/>
        <v>0</v>
      </c>
      <c r="F507" s="21">
        <f t="shared" si="4"/>
        <v>0</v>
      </c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3">
        <f>'Solar Power Plant Data'!A508</f>
        <v>42964.08333</v>
      </c>
      <c r="B508" s="19">
        <f>'Solar Power Plant Data'!H508</f>
        <v>0</v>
      </c>
      <c r="C508" s="19">
        <f t="shared" si="1"/>
        <v>0</v>
      </c>
      <c r="D508" s="19">
        <f t="shared" si="2"/>
        <v>0</v>
      </c>
      <c r="E508" s="21">
        <f t="shared" si="3"/>
        <v>0</v>
      </c>
      <c r="F508" s="21">
        <f t="shared" si="4"/>
        <v>0</v>
      </c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3">
        <f>'Solar Power Plant Data'!A509</f>
        <v>42965.08333</v>
      </c>
      <c r="B509" s="19">
        <f>'Solar Power Plant Data'!H509</f>
        <v>0</v>
      </c>
      <c r="C509" s="19">
        <f t="shared" si="1"/>
        <v>0</v>
      </c>
      <c r="D509" s="19">
        <f t="shared" si="2"/>
        <v>0</v>
      </c>
      <c r="E509" s="21">
        <f t="shared" si="3"/>
        <v>0</v>
      </c>
      <c r="F509" s="21">
        <f t="shared" si="4"/>
        <v>0</v>
      </c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3">
        <f>'Solar Power Plant Data'!A510</f>
        <v>42966.08333</v>
      </c>
      <c r="B510" s="19">
        <f>'Solar Power Plant Data'!H510</f>
        <v>0</v>
      </c>
      <c r="C510" s="19">
        <f t="shared" si="1"/>
        <v>0</v>
      </c>
      <c r="D510" s="19">
        <f t="shared" si="2"/>
        <v>0</v>
      </c>
      <c r="E510" s="21">
        <f t="shared" si="3"/>
        <v>0</v>
      </c>
      <c r="F510" s="21">
        <f t="shared" si="4"/>
        <v>0</v>
      </c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3">
        <f>'Solar Power Plant Data'!A511</f>
        <v>42967.08333</v>
      </c>
      <c r="B511" s="19">
        <f>'Solar Power Plant Data'!H511</f>
        <v>0</v>
      </c>
      <c r="C511" s="19">
        <f t="shared" si="1"/>
        <v>0</v>
      </c>
      <c r="D511" s="19">
        <f t="shared" si="2"/>
        <v>0</v>
      </c>
      <c r="E511" s="21">
        <f t="shared" si="3"/>
        <v>0</v>
      </c>
      <c r="F511" s="21">
        <f t="shared" si="4"/>
        <v>0</v>
      </c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3">
        <f>'Solar Power Plant Data'!A512</f>
        <v>42968.08333</v>
      </c>
      <c r="B512" s="19">
        <f>'Solar Power Plant Data'!H512</f>
        <v>0</v>
      </c>
      <c r="C512" s="19">
        <f t="shared" si="1"/>
        <v>0</v>
      </c>
      <c r="D512" s="19">
        <f t="shared" si="2"/>
        <v>0</v>
      </c>
      <c r="E512" s="21">
        <f t="shared" si="3"/>
        <v>0</v>
      </c>
      <c r="F512" s="21">
        <f t="shared" si="4"/>
        <v>0</v>
      </c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3">
        <f>'Solar Power Plant Data'!A513</f>
        <v>42969.08333</v>
      </c>
      <c r="B513" s="19">
        <f>'Solar Power Plant Data'!H513</f>
        <v>0</v>
      </c>
      <c r="C513" s="19">
        <f t="shared" si="1"/>
        <v>0</v>
      </c>
      <c r="D513" s="19">
        <f t="shared" si="2"/>
        <v>0</v>
      </c>
      <c r="E513" s="21">
        <f t="shared" si="3"/>
        <v>0</v>
      </c>
      <c r="F513" s="21">
        <f t="shared" si="4"/>
        <v>0</v>
      </c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3">
        <f>'Solar Power Plant Data'!A514</f>
        <v>42970.08333</v>
      </c>
      <c r="B514" s="19">
        <f>'Solar Power Plant Data'!H514</f>
        <v>0</v>
      </c>
      <c r="C514" s="19">
        <f t="shared" si="1"/>
        <v>0</v>
      </c>
      <c r="D514" s="19">
        <f t="shared" si="2"/>
        <v>0</v>
      </c>
      <c r="E514" s="21">
        <f t="shared" si="3"/>
        <v>0</v>
      </c>
      <c r="F514" s="21">
        <f t="shared" si="4"/>
        <v>0</v>
      </c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3">
        <f>'Solar Power Plant Data'!A515</f>
        <v>42971.08333</v>
      </c>
      <c r="B515" s="19">
        <f>'Solar Power Plant Data'!H515</f>
        <v>0</v>
      </c>
      <c r="C515" s="19">
        <f t="shared" si="1"/>
        <v>0</v>
      </c>
      <c r="D515" s="19">
        <f t="shared" si="2"/>
        <v>0</v>
      </c>
      <c r="E515" s="21">
        <f t="shared" si="3"/>
        <v>0</v>
      </c>
      <c r="F515" s="21">
        <f t="shared" si="4"/>
        <v>0</v>
      </c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3">
        <f>'Solar Power Plant Data'!A516</f>
        <v>42972.08333</v>
      </c>
      <c r="B516" s="19">
        <f>'Solar Power Plant Data'!H516</f>
        <v>0</v>
      </c>
      <c r="C516" s="19">
        <f t="shared" si="1"/>
        <v>0</v>
      </c>
      <c r="D516" s="19">
        <f t="shared" si="2"/>
        <v>0</v>
      </c>
      <c r="E516" s="21">
        <f t="shared" si="3"/>
        <v>0</v>
      </c>
      <c r="F516" s="21">
        <f t="shared" si="4"/>
        <v>0</v>
      </c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3">
        <f>'Solar Power Plant Data'!A517</f>
        <v>42973.08333</v>
      </c>
      <c r="B517" s="19">
        <f>'Solar Power Plant Data'!H517</f>
        <v>0</v>
      </c>
      <c r="C517" s="19">
        <f t="shared" si="1"/>
        <v>184</v>
      </c>
      <c r="D517" s="19">
        <f t="shared" si="2"/>
        <v>-184</v>
      </c>
      <c r="E517" s="21">
        <f t="shared" si="3"/>
        <v>184</v>
      </c>
      <c r="F517" s="21">
        <f t="shared" si="4"/>
        <v>33856</v>
      </c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3">
        <f>'Solar Power Plant Data'!A518</f>
        <v>42974.08333</v>
      </c>
      <c r="B518" s="19">
        <f>'Solar Power Plant Data'!H518</f>
        <v>0</v>
      </c>
      <c r="C518" s="19">
        <f t="shared" si="1"/>
        <v>13326666</v>
      </c>
      <c r="D518" s="19">
        <f t="shared" si="2"/>
        <v>-13326666</v>
      </c>
      <c r="E518" s="21">
        <f t="shared" si="3"/>
        <v>13326666</v>
      </c>
      <c r="F518" s="21">
        <f t="shared" si="4"/>
        <v>177600026675556</v>
      </c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3">
        <f>'Solar Power Plant Data'!A519</f>
        <v>42975.08333</v>
      </c>
      <c r="B519" s="19">
        <f>'Solar Power Plant Data'!H519</f>
        <v>0</v>
      </c>
      <c r="C519" s="19">
        <f t="shared" si="1"/>
        <v>12028333</v>
      </c>
      <c r="D519" s="19">
        <f t="shared" si="2"/>
        <v>-12028333</v>
      </c>
      <c r="E519" s="21">
        <f t="shared" si="3"/>
        <v>12028333</v>
      </c>
      <c r="F519" s="21">
        <f t="shared" si="4"/>
        <v>144680794758889</v>
      </c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3">
        <f>'Solar Power Plant Data'!A520</f>
        <v>42976.08333</v>
      </c>
      <c r="B520" s="19">
        <f>'Solar Power Plant Data'!H520</f>
        <v>671666</v>
      </c>
      <c r="C520" s="19">
        <f t="shared" si="1"/>
        <v>394</v>
      </c>
      <c r="D520" s="19">
        <f t="shared" si="2"/>
        <v>671272</v>
      </c>
      <c r="E520" s="21">
        <f t="shared" si="3"/>
        <v>671272</v>
      </c>
      <c r="F520" s="21">
        <f t="shared" si="4"/>
        <v>450606097984</v>
      </c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3">
        <f>'Solar Power Plant Data'!A521</f>
        <v>42977.08333</v>
      </c>
      <c r="B521" s="19">
        <f>'Solar Power Plant Data'!H521</f>
        <v>37</v>
      </c>
      <c r="C521" s="19">
        <f t="shared" si="1"/>
        <v>3383332</v>
      </c>
      <c r="D521" s="19">
        <f t="shared" si="2"/>
        <v>-3383295</v>
      </c>
      <c r="E521" s="21">
        <f t="shared" si="3"/>
        <v>3383295</v>
      </c>
      <c r="F521" s="21">
        <f t="shared" si="4"/>
        <v>11446685057025</v>
      </c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3">
        <f>'Solar Power Plant Data'!A522</f>
        <v>42978.08333</v>
      </c>
      <c r="B522" s="19">
        <f>'Solar Power Plant Data'!H522</f>
        <v>0</v>
      </c>
      <c r="C522" s="19">
        <f t="shared" si="1"/>
        <v>428333</v>
      </c>
      <c r="D522" s="19">
        <f t="shared" si="2"/>
        <v>-428333</v>
      </c>
      <c r="E522" s="21">
        <f t="shared" si="3"/>
        <v>428333</v>
      </c>
      <c r="F522" s="21">
        <f t="shared" si="4"/>
        <v>183469158889</v>
      </c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3">
        <f>'Solar Power Plant Data'!A523</f>
        <v>42979.08333</v>
      </c>
      <c r="B523" s="19">
        <f>'Solar Power Plant Data'!H523</f>
        <v>0</v>
      </c>
      <c r="C523" s="19">
        <f t="shared" si="1"/>
        <v>0</v>
      </c>
      <c r="D523" s="19">
        <f t="shared" si="2"/>
        <v>0</v>
      </c>
      <c r="E523" s="21">
        <f t="shared" si="3"/>
        <v>0</v>
      </c>
      <c r="F523" s="21">
        <f t="shared" si="4"/>
        <v>0</v>
      </c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3">
        <f>'Solar Power Plant Data'!A524</f>
        <v>42980.08333</v>
      </c>
      <c r="B524" s="19">
        <f>'Solar Power Plant Data'!H524</f>
        <v>0</v>
      </c>
      <c r="C524" s="19">
        <f t="shared" si="1"/>
        <v>0</v>
      </c>
      <c r="D524" s="19">
        <f t="shared" si="2"/>
        <v>0</v>
      </c>
      <c r="E524" s="21">
        <f t="shared" si="3"/>
        <v>0</v>
      </c>
      <c r="F524" s="21">
        <f t="shared" si="4"/>
        <v>0</v>
      </c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3">
        <f>'Solar Power Plant Data'!A525</f>
        <v>42981.08333</v>
      </c>
      <c r="B525" s="19">
        <f>'Solar Power Plant Data'!H525</f>
        <v>0</v>
      </c>
      <c r="C525" s="19">
        <f t="shared" si="1"/>
        <v>0</v>
      </c>
      <c r="D525" s="19">
        <f t="shared" si="2"/>
        <v>0</v>
      </c>
      <c r="E525" s="21">
        <f t="shared" si="3"/>
        <v>0</v>
      </c>
      <c r="F525" s="21">
        <f t="shared" si="4"/>
        <v>0</v>
      </c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3">
        <f>'Solar Power Plant Data'!A526</f>
        <v>42982.08333</v>
      </c>
      <c r="B526" s="19">
        <f>'Solar Power Plant Data'!H526</f>
        <v>0</v>
      </c>
      <c r="C526" s="19">
        <f t="shared" si="1"/>
        <v>0</v>
      </c>
      <c r="D526" s="19">
        <f t="shared" si="2"/>
        <v>0</v>
      </c>
      <c r="E526" s="21">
        <f t="shared" si="3"/>
        <v>0</v>
      </c>
      <c r="F526" s="21">
        <f t="shared" si="4"/>
        <v>0</v>
      </c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3">
        <f>'Solar Power Plant Data'!A527</f>
        <v>42983.08333</v>
      </c>
      <c r="B527" s="19">
        <f>'Solar Power Plant Data'!H527</f>
        <v>0</v>
      </c>
      <c r="C527" s="19">
        <f t="shared" si="1"/>
        <v>0</v>
      </c>
      <c r="D527" s="19">
        <f t="shared" si="2"/>
        <v>0</v>
      </c>
      <c r="E527" s="21">
        <f t="shared" si="3"/>
        <v>0</v>
      </c>
      <c r="F527" s="21">
        <f t="shared" si="4"/>
        <v>0</v>
      </c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3">
        <f>'Solar Power Plant Data'!A528</f>
        <v>42984.08333</v>
      </c>
      <c r="B528" s="19">
        <f>'Solar Power Plant Data'!H528</f>
        <v>0</v>
      </c>
      <c r="C528" s="19">
        <f t="shared" si="1"/>
        <v>0</v>
      </c>
      <c r="D528" s="19">
        <f t="shared" si="2"/>
        <v>0</v>
      </c>
      <c r="E528" s="21">
        <f t="shared" si="3"/>
        <v>0</v>
      </c>
      <c r="F528" s="21">
        <f t="shared" si="4"/>
        <v>0</v>
      </c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3">
        <f>'Solar Power Plant Data'!A529</f>
        <v>42985.08333</v>
      </c>
      <c r="B529" s="19">
        <f>'Solar Power Plant Data'!H529</f>
        <v>0</v>
      </c>
      <c r="C529" s="19">
        <f t="shared" si="1"/>
        <v>0</v>
      </c>
      <c r="D529" s="19">
        <f t="shared" si="2"/>
        <v>0</v>
      </c>
      <c r="E529" s="21">
        <f t="shared" si="3"/>
        <v>0</v>
      </c>
      <c r="F529" s="21">
        <f t="shared" si="4"/>
        <v>0</v>
      </c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3">
        <f>'Solar Power Plant Data'!A530</f>
        <v>42986.08333</v>
      </c>
      <c r="B530" s="19">
        <f>'Solar Power Plant Data'!H530</f>
        <v>0</v>
      </c>
      <c r="C530" s="19">
        <f t="shared" si="1"/>
        <v>0</v>
      </c>
      <c r="D530" s="19">
        <f t="shared" si="2"/>
        <v>0</v>
      </c>
      <c r="E530" s="21">
        <f t="shared" si="3"/>
        <v>0</v>
      </c>
      <c r="F530" s="21">
        <f t="shared" si="4"/>
        <v>0</v>
      </c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3">
        <f>'Solar Power Plant Data'!A531</f>
        <v>42987.08333</v>
      </c>
      <c r="B531" s="19">
        <f>'Solar Power Plant Data'!H531</f>
        <v>0</v>
      </c>
      <c r="C531" s="19">
        <f t="shared" si="1"/>
        <v>0</v>
      </c>
      <c r="D531" s="19">
        <f t="shared" si="2"/>
        <v>0</v>
      </c>
      <c r="E531" s="21">
        <f t="shared" si="3"/>
        <v>0</v>
      </c>
      <c r="F531" s="21">
        <f t="shared" si="4"/>
        <v>0</v>
      </c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3">
        <f>'Solar Power Plant Data'!A532</f>
        <v>42988.08333</v>
      </c>
      <c r="B532" s="19">
        <f>'Solar Power Plant Data'!H532</f>
        <v>0</v>
      </c>
      <c r="C532" s="19">
        <f t="shared" si="1"/>
        <v>0</v>
      </c>
      <c r="D532" s="19">
        <f t="shared" si="2"/>
        <v>0</v>
      </c>
      <c r="E532" s="21">
        <f t="shared" si="3"/>
        <v>0</v>
      </c>
      <c r="F532" s="21">
        <f t="shared" si="4"/>
        <v>0</v>
      </c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3">
        <f>'Solar Power Plant Data'!A533</f>
        <v>42989.08333</v>
      </c>
      <c r="B533" s="19">
        <f>'Solar Power Plant Data'!H533</f>
        <v>0</v>
      </c>
      <c r="C533" s="19">
        <f t="shared" si="1"/>
        <v>0</v>
      </c>
      <c r="D533" s="19">
        <f t="shared" si="2"/>
        <v>0</v>
      </c>
      <c r="E533" s="21">
        <f t="shared" si="3"/>
        <v>0</v>
      </c>
      <c r="F533" s="21">
        <f t="shared" si="4"/>
        <v>0</v>
      </c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3">
        <f>'Solar Power Plant Data'!A534</f>
        <v>42990.08333</v>
      </c>
      <c r="B534" s="19">
        <f>'Solar Power Plant Data'!H534</f>
        <v>0</v>
      </c>
      <c r="C534" s="19">
        <f t="shared" si="1"/>
        <v>0</v>
      </c>
      <c r="D534" s="19">
        <f t="shared" si="2"/>
        <v>0</v>
      </c>
      <c r="E534" s="21">
        <f t="shared" si="3"/>
        <v>0</v>
      </c>
      <c r="F534" s="21">
        <f t="shared" si="4"/>
        <v>0</v>
      </c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3">
        <f>'Solar Power Plant Data'!A535</f>
        <v>42991.08333</v>
      </c>
      <c r="B535" s="19">
        <f>'Solar Power Plant Data'!H535</f>
        <v>0</v>
      </c>
      <c r="C535" s="19">
        <f t="shared" si="1"/>
        <v>0</v>
      </c>
      <c r="D535" s="19">
        <f t="shared" si="2"/>
        <v>0</v>
      </c>
      <c r="E535" s="21">
        <f t="shared" si="3"/>
        <v>0</v>
      </c>
      <c r="F535" s="21">
        <f t="shared" si="4"/>
        <v>0</v>
      </c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3">
        <f>'Solar Power Plant Data'!A536</f>
        <v>42992.08333</v>
      </c>
      <c r="B536" s="19">
        <f>'Solar Power Plant Data'!H536</f>
        <v>0</v>
      </c>
      <c r="C536" s="19">
        <f t="shared" si="1"/>
        <v>0</v>
      </c>
      <c r="D536" s="19">
        <f t="shared" si="2"/>
        <v>0</v>
      </c>
      <c r="E536" s="21">
        <f t="shared" si="3"/>
        <v>0</v>
      </c>
      <c r="F536" s="21">
        <f t="shared" si="4"/>
        <v>0</v>
      </c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3">
        <f>'Solar Power Plant Data'!A537</f>
        <v>42993.08333</v>
      </c>
      <c r="B537" s="19">
        <f>'Solar Power Plant Data'!H537</f>
        <v>0</v>
      </c>
      <c r="C537" s="19">
        <f t="shared" si="1"/>
        <v>0</v>
      </c>
      <c r="D537" s="19">
        <f t="shared" si="2"/>
        <v>0</v>
      </c>
      <c r="E537" s="21">
        <f t="shared" si="3"/>
        <v>0</v>
      </c>
      <c r="F537" s="21">
        <f t="shared" si="4"/>
        <v>0</v>
      </c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3">
        <f>'Solar Power Plant Data'!A538</f>
        <v>42994.08333</v>
      </c>
      <c r="B538" s="19">
        <f>'Solar Power Plant Data'!H538</f>
        <v>0</v>
      </c>
      <c r="C538" s="19">
        <f t="shared" si="1"/>
        <v>0</v>
      </c>
      <c r="D538" s="19">
        <f t="shared" si="2"/>
        <v>0</v>
      </c>
      <c r="E538" s="21">
        <f t="shared" si="3"/>
        <v>0</v>
      </c>
      <c r="F538" s="21">
        <f t="shared" si="4"/>
        <v>0</v>
      </c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3">
        <f>'Solar Power Plant Data'!A539</f>
        <v>42995.08333</v>
      </c>
      <c r="B539" s="19">
        <f>'Solar Power Plant Data'!H539</f>
        <v>0</v>
      </c>
      <c r="C539" s="19">
        <f t="shared" si="1"/>
        <v>0</v>
      </c>
      <c r="D539" s="19">
        <f t="shared" si="2"/>
        <v>0</v>
      </c>
      <c r="E539" s="21">
        <f t="shared" si="3"/>
        <v>0</v>
      </c>
      <c r="F539" s="21">
        <f t="shared" si="4"/>
        <v>0</v>
      </c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3">
        <f>'Solar Power Plant Data'!A540</f>
        <v>42996.08333</v>
      </c>
      <c r="B540" s="19">
        <f>'Solar Power Plant Data'!H540</f>
        <v>36</v>
      </c>
      <c r="C540" s="19">
        <f t="shared" si="1"/>
        <v>0</v>
      </c>
      <c r="D540" s="19">
        <f t="shared" si="2"/>
        <v>36</v>
      </c>
      <c r="E540" s="21">
        <f t="shared" si="3"/>
        <v>36</v>
      </c>
      <c r="F540" s="21">
        <f t="shared" si="4"/>
        <v>1296</v>
      </c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3">
        <f>'Solar Power Plant Data'!A541</f>
        <v>42997.08333</v>
      </c>
      <c r="B541" s="19">
        <f>'Solar Power Plant Data'!H541</f>
        <v>3328333</v>
      </c>
      <c r="C541" s="19">
        <f t="shared" si="1"/>
        <v>0</v>
      </c>
      <c r="D541" s="19">
        <f t="shared" si="2"/>
        <v>3328333</v>
      </c>
      <c r="E541" s="21">
        <f t="shared" si="3"/>
        <v>3328333</v>
      </c>
      <c r="F541" s="21">
        <f t="shared" si="4"/>
        <v>11077800558889</v>
      </c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3">
        <f>'Solar Power Plant Data'!A542</f>
        <v>42998.08333</v>
      </c>
      <c r="B542" s="19">
        <f>'Solar Power Plant Data'!H542</f>
        <v>6881666</v>
      </c>
      <c r="C542" s="19">
        <f t="shared" si="1"/>
        <v>0</v>
      </c>
      <c r="D542" s="19">
        <f t="shared" si="2"/>
        <v>6881666</v>
      </c>
      <c r="E542" s="21">
        <f t="shared" si="3"/>
        <v>6881666</v>
      </c>
      <c r="F542" s="21">
        <f t="shared" si="4"/>
        <v>47357326935556</v>
      </c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3">
        <f>'Solar Power Plant Data'!A543</f>
        <v>42999.08333</v>
      </c>
      <c r="B543" s="19">
        <f>'Solar Power Plant Data'!H543</f>
        <v>9856667</v>
      </c>
      <c r="C543" s="19">
        <f t="shared" si="1"/>
        <v>0</v>
      </c>
      <c r="D543" s="19">
        <f t="shared" si="2"/>
        <v>9856667</v>
      </c>
      <c r="E543" s="21">
        <f t="shared" si="3"/>
        <v>9856667</v>
      </c>
      <c r="F543" s="21">
        <f t="shared" si="4"/>
        <v>97153884348889</v>
      </c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3">
        <f>'Solar Power Plant Data'!A544</f>
        <v>43000.08333</v>
      </c>
      <c r="B544" s="19">
        <f>'Solar Power Plant Data'!H544</f>
        <v>204</v>
      </c>
      <c r="C544" s="19">
        <f t="shared" si="1"/>
        <v>671666</v>
      </c>
      <c r="D544" s="19">
        <f t="shared" si="2"/>
        <v>-671462</v>
      </c>
      <c r="E544" s="21">
        <f t="shared" si="3"/>
        <v>671462</v>
      </c>
      <c r="F544" s="21">
        <f t="shared" si="4"/>
        <v>450861217444</v>
      </c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3">
        <f>'Solar Power Plant Data'!A545</f>
        <v>43001.08333</v>
      </c>
      <c r="B545" s="19">
        <f>'Solar Power Plant Data'!H545</f>
        <v>168</v>
      </c>
      <c r="C545" s="19">
        <f t="shared" si="1"/>
        <v>37</v>
      </c>
      <c r="D545" s="19">
        <f t="shared" si="2"/>
        <v>131</v>
      </c>
      <c r="E545" s="21">
        <f t="shared" si="3"/>
        <v>131</v>
      </c>
      <c r="F545" s="21">
        <f t="shared" si="4"/>
        <v>17161</v>
      </c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3">
        <f>'Solar Power Plant Data'!A546</f>
        <v>43002.08333</v>
      </c>
      <c r="B546" s="19">
        <f>'Solar Power Plant Data'!H546</f>
        <v>216667</v>
      </c>
      <c r="C546" s="19">
        <f t="shared" si="1"/>
        <v>0</v>
      </c>
      <c r="D546" s="19">
        <f t="shared" si="2"/>
        <v>216667</v>
      </c>
      <c r="E546" s="21">
        <f t="shared" si="3"/>
        <v>216667</v>
      </c>
      <c r="F546" s="21">
        <f t="shared" si="4"/>
        <v>46944588889</v>
      </c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3">
        <f>'Solar Power Plant Data'!A547</f>
        <v>43003.08333</v>
      </c>
      <c r="B547" s="19">
        <f>'Solar Power Plant Data'!H547</f>
        <v>0</v>
      </c>
      <c r="C547" s="19">
        <f t="shared" si="1"/>
        <v>0</v>
      </c>
      <c r="D547" s="19">
        <f t="shared" si="2"/>
        <v>0</v>
      </c>
      <c r="E547" s="21">
        <f t="shared" si="3"/>
        <v>0</v>
      </c>
      <c r="F547" s="21">
        <f t="shared" si="4"/>
        <v>0</v>
      </c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3">
        <f>'Solar Power Plant Data'!A548</f>
        <v>43004.08333</v>
      </c>
      <c r="B548" s="19">
        <f>'Solar Power Plant Data'!H548</f>
        <v>0</v>
      </c>
      <c r="C548" s="19">
        <f t="shared" si="1"/>
        <v>0</v>
      </c>
      <c r="D548" s="19">
        <f t="shared" si="2"/>
        <v>0</v>
      </c>
      <c r="E548" s="21">
        <f t="shared" si="3"/>
        <v>0</v>
      </c>
      <c r="F548" s="21">
        <f t="shared" si="4"/>
        <v>0</v>
      </c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3">
        <f>'Solar Power Plant Data'!A549</f>
        <v>43005.08333</v>
      </c>
      <c r="B549" s="19">
        <f>'Solar Power Plant Data'!H549</f>
        <v>0</v>
      </c>
      <c r="C549" s="19">
        <f t="shared" si="1"/>
        <v>0</v>
      </c>
      <c r="D549" s="19">
        <f t="shared" si="2"/>
        <v>0</v>
      </c>
      <c r="E549" s="21">
        <f t="shared" si="3"/>
        <v>0</v>
      </c>
      <c r="F549" s="21">
        <f t="shared" si="4"/>
        <v>0</v>
      </c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3">
        <f>'Solar Power Plant Data'!A550</f>
        <v>43006.08333</v>
      </c>
      <c r="B550" s="19">
        <f>'Solar Power Plant Data'!H550</f>
        <v>0</v>
      </c>
      <c r="C550" s="19">
        <f t="shared" si="1"/>
        <v>0</v>
      </c>
      <c r="D550" s="19">
        <f t="shared" si="2"/>
        <v>0</v>
      </c>
      <c r="E550" s="21">
        <f t="shared" si="3"/>
        <v>0</v>
      </c>
      <c r="F550" s="21">
        <f t="shared" si="4"/>
        <v>0</v>
      </c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3">
        <f>'Solar Power Plant Data'!A551</f>
        <v>43007.08333</v>
      </c>
      <c r="B551" s="19">
        <f>'Solar Power Plant Data'!H551</f>
        <v>0</v>
      </c>
      <c r="C551" s="19">
        <f t="shared" si="1"/>
        <v>0</v>
      </c>
      <c r="D551" s="19">
        <f t="shared" si="2"/>
        <v>0</v>
      </c>
      <c r="E551" s="21">
        <f t="shared" si="3"/>
        <v>0</v>
      </c>
      <c r="F551" s="21">
        <f t="shared" si="4"/>
        <v>0</v>
      </c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3">
        <f>'Solar Power Plant Data'!A552</f>
        <v>43008.08333</v>
      </c>
      <c r="B552" s="19">
        <f>'Solar Power Plant Data'!H552</f>
        <v>0</v>
      </c>
      <c r="C552" s="19">
        <f t="shared" si="1"/>
        <v>0</v>
      </c>
      <c r="D552" s="19">
        <f t="shared" si="2"/>
        <v>0</v>
      </c>
      <c r="E552" s="21">
        <f t="shared" si="3"/>
        <v>0</v>
      </c>
      <c r="F552" s="21">
        <f t="shared" si="4"/>
        <v>0</v>
      </c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3">
        <f>'Solar Power Plant Data'!A553</f>
        <v>43009.08333</v>
      </c>
      <c r="B553" s="19">
        <f>'Solar Power Plant Data'!H553</f>
        <v>0</v>
      </c>
      <c r="C553" s="19">
        <f t="shared" si="1"/>
        <v>0</v>
      </c>
      <c r="D553" s="19">
        <f t="shared" si="2"/>
        <v>0</v>
      </c>
      <c r="E553" s="21">
        <f t="shared" si="3"/>
        <v>0</v>
      </c>
      <c r="F553" s="21">
        <f t="shared" si="4"/>
        <v>0</v>
      </c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3">
        <f>'Solar Power Plant Data'!A554</f>
        <v>43010.08333</v>
      </c>
      <c r="B554" s="19">
        <f>'Solar Power Plant Data'!H554</f>
        <v>0</v>
      </c>
      <c r="C554" s="19">
        <f t="shared" si="1"/>
        <v>0</v>
      </c>
      <c r="D554" s="19">
        <f t="shared" si="2"/>
        <v>0</v>
      </c>
      <c r="E554" s="21">
        <f t="shared" si="3"/>
        <v>0</v>
      </c>
      <c r="F554" s="21">
        <f t="shared" si="4"/>
        <v>0</v>
      </c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3">
        <f>'Solar Power Plant Data'!A555</f>
        <v>43011.08333</v>
      </c>
      <c r="B555" s="19">
        <f>'Solar Power Plant Data'!H555</f>
        <v>0</v>
      </c>
      <c r="C555" s="19">
        <f t="shared" si="1"/>
        <v>0</v>
      </c>
      <c r="D555" s="19">
        <f t="shared" si="2"/>
        <v>0</v>
      </c>
      <c r="E555" s="21">
        <f t="shared" si="3"/>
        <v>0</v>
      </c>
      <c r="F555" s="21">
        <f t="shared" si="4"/>
        <v>0</v>
      </c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3">
        <f>'Solar Power Plant Data'!A556</f>
        <v>43012.08333</v>
      </c>
      <c r="B556" s="19">
        <f>'Solar Power Plant Data'!H556</f>
        <v>0</v>
      </c>
      <c r="C556" s="19">
        <f t="shared" si="1"/>
        <v>0</v>
      </c>
      <c r="D556" s="19">
        <f t="shared" si="2"/>
        <v>0</v>
      </c>
      <c r="E556" s="21">
        <f t="shared" si="3"/>
        <v>0</v>
      </c>
      <c r="F556" s="21">
        <f t="shared" si="4"/>
        <v>0</v>
      </c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3">
        <f>'Solar Power Plant Data'!A557</f>
        <v>43013.08333</v>
      </c>
      <c r="B557" s="19">
        <f>'Solar Power Plant Data'!H557</f>
        <v>0</v>
      </c>
      <c r="C557" s="19">
        <f t="shared" si="1"/>
        <v>0</v>
      </c>
      <c r="D557" s="19">
        <f t="shared" si="2"/>
        <v>0</v>
      </c>
      <c r="E557" s="21">
        <f t="shared" si="3"/>
        <v>0</v>
      </c>
      <c r="F557" s="21">
        <f t="shared" si="4"/>
        <v>0</v>
      </c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3">
        <f>'Solar Power Plant Data'!A558</f>
        <v>43014.08333</v>
      </c>
      <c r="B558" s="19">
        <f>'Solar Power Plant Data'!H558</f>
        <v>0</v>
      </c>
      <c r="C558" s="19">
        <f t="shared" si="1"/>
        <v>0</v>
      </c>
      <c r="D558" s="19">
        <f t="shared" si="2"/>
        <v>0</v>
      </c>
      <c r="E558" s="21">
        <f t="shared" si="3"/>
        <v>0</v>
      </c>
      <c r="F558" s="21">
        <f t="shared" si="4"/>
        <v>0</v>
      </c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3">
        <f>'Solar Power Plant Data'!A559</f>
        <v>43015.08333</v>
      </c>
      <c r="B559" s="19">
        <f>'Solar Power Plant Data'!H559</f>
        <v>0</v>
      </c>
      <c r="C559" s="19">
        <f t="shared" si="1"/>
        <v>0</v>
      </c>
      <c r="D559" s="19">
        <f t="shared" si="2"/>
        <v>0</v>
      </c>
      <c r="E559" s="21">
        <f t="shared" si="3"/>
        <v>0</v>
      </c>
      <c r="F559" s="21">
        <f t="shared" si="4"/>
        <v>0</v>
      </c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3">
        <f>'Solar Power Plant Data'!A560</f>
        <v>43016.08333</v>
      </c>
      <c r="B560" s="19">
        <f>'Solar Power Plant Data'!H560</f>
        <v>0</v>
      </c>
      <c r="C560" s="19">
        <f t="shared" si="1"/>
        <v>0</v>
      </c>
      <c r="D560" s="19">
        <f t="shared" si="2"/>
        <v>0</v>
      </c>
      <c r="E560" s="21">
        <f t="shared" si="3"/>
        <v>0</v>
      </c>
      <c r="F560" s="21">
        <f t="shared" si="4"/>
        <v>0</v>
      </c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3">
        <f>'Solar Power Plant Data'!A561</f>
        <v>43017.08333</v>
      </c>
      <c r="B561" s="19">
        <f>'Solar Power Plant Data'!H561</f>
        <v>0</v>
      </c>
      <c r="C561" s="19">
        <f t="shared" si="1"/>
        <v>0</v>
      </c>
      <c r="D561" s="19">
        <f t="shared" si="2"/>
        <v>0</v>
      </c>
      <c r="E561" s="21">
        <f t="shared" si="3"/>
        <v>0</v>
      </c>
      <c r="F561" s="21">
        <f t="shared" si="4"/>
        <v>0</v>
      </c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3">
        <f>'Solar Power Plant Data'!A562</f>
        <v>43018.08333</v>
      </c>
      <c r="B562" s="19">
        <f>'Solar Power Plant Data'!H562</f>
        <v>0</v>
      </c>
      <c r="C562" s="19">
        <f t="shared" si="1"/>
        <v>0</v>
      </c>
      <c r="D562" s="19">
        <f t="shared" si="2"/>
        <v>0</v>
      </c>
      <c r="E562" s="21">
        <f t="shared" si="3"/>
        <v>0</v>
      </c>
      <c r="F562" s="21">
        <f t="shared" si="4"/>
        <v>0</v>
      </c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3">
        <f>'Solar Power Plant Data'!A563</f>
        <v>43019.08333</v>
      </c>
      <c r="B563" s="19">
        <f>'Solar Power Plant Data'!H563</f>
        <v>0</v>
      </c>
      <c r="C563" s="19">
        <f t="shared" si="1"/>
        <v>0</v>
      </c>
      <c r="D563" s="19">
        <f t="shared" si="2"/>
        <v>0</v>
      </c>
      <c r="E563" s="21">
        <f t="shared" si="3"/>
        <v>0</v>
      </c>
      <c r="F563" s="21">
        <f t="shared" si="4"/>
        <v>0</v>
      </c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3">
        <f>'Solar Power Plant Data'!A564</f>
        <v>43020.08333</v>
      </c>
      <c r="B564" s="19">
        <f>'Solar Power Plant Data'!H564</f>
        <v>0</v>
      </c>
      <c r="C564" s="19">
        <f t="shared" si="1"/>
        <v>36</v>
      </c>
      <c r="D564" s="19">
        <f t="shared" si="2"/>
        <v>-36</v>
      </c>
      <c r="E564" s="21">
        <f t="shared" si="3"/>
        <v>36</v>
      </c>
      <c r="F564" s="21">
        <f t="shared" si="4"/>
        <v>1296</v>
      </c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3">
        <f>'Solar Power Plant Data'!A565</f>
        <v>43021.08333</v>
      </c>
      <c r="B565" s="19">
        <f>'Solar Power Plant Data'!H565</f>
        <v>263333</v>
      </c>
      <c r="C565" s="19">
        <f t="shared" si="1"/>
        <v>3328333</v>
      </c>
      <c r="D565" s="19">
        <f t="shared" si="2"/>
        <v>-3065000</v>
      </c>
      <c r="E565" s="21">
        <f t="shared" si="3"/>
        <v>3065000</v>
      </c>
      <c r="F565" s="21">
        <f t="shared" si="4"/>
        <v>9394225000000</v>
      </c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3">
        <f>'Solar Power Plant Data'!A566</f>
        <v>43022.08333</v>
      </c>
      <c r="B566" s="19">
        <f>'Solar Power Plant Data'!H566</f>
        <v>8531667</v>
      </c>
      <c r="C566" s="19">
        <f t="shared" si="1"/>
        <v>6881666</v>
      </c>
      <c r="D566" s="19">
        <f t="shared" si="2"/>
        <v>1650001</v>
      </c>
      <c r="E566" s="21">
        <f t="shared" si="3"/>
        <v>1650001</v>
      </c>
      <c r="F566" s="21">
        <f t="shared" si="4"/>
        <v>2722503300001</v>
      </c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3">
        <f>'Solar Power Plant Data'!A567</f>
        <v>43023.08333</v>
      </c>
      <c r="B567" s="19">
        <f>'Solar Power Plant Data'!H567</f>
        <v>9733333</v>
      </c>
      <c r="C567" s="19">
        <f t="shared" si="1"/>
        <v>9856667</v>
      </c>
      <c r="D567" s="19">
        <f t="shared" si="2"/>
        <v>-123334</v>
      </c>
      <c r="E567" s="21">
        <f t="shared" si="3"/>
        <v>123334</v>
      </c>
      <c r="F567" s="21">
        <f t="shared" si="4"/>
        <v>15211275556</v>
      </c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3">
        <f>'Solar Power Plant Data'!A568</f>
        <v>43024.08333</v>
      </c>
      <c r="B568" s="19">
        <f>'Solar Power Plant Data'!H568</f>
        <v>5561667</v>
      </c>
      <c r="C568" s="19">
        <f t="shared" si="1"/>
        <v>204</v>
      </c>
      <c r="D568" s="19">
        <f t="shared" si="2"/>
        <v>5561463</v>
      </c>
      <c r="E568" s="21">
        <f t="shared" si="3"/>
        <v>5561463</v>
      </c>
      <c r="F568" s="21">
        <f t="shared" si="4"/>
        <v>30929870700369</v>
      </c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3">
        <f>'Solar Power Plant Data'!A569</f>
        <v>43025.08333</v>
      </c>
      <c r="B569" s="19">
        <f>'Solar Power Plant Data'!H569</f>
        <v>2915001</v>
      </c>
      <c r="C569" s="19">
        <f t="shared" si="1"/>
        <v>168</v>
      </c>
      <c r="D569" s="19">
        <f t="shared" si="2"/>
        <v>2914833</v>
      </c>
      <c r="E569" s="21">
        <f t="shared" si="3"/>
        <v>2914833</v>
      </c>
      <c r="F569" s="21">
        <f t="shared" si="4"/>
        <v>8496251417889</v>
      </c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3">
        <f>'Solar Power Plant Data'!A570</f>
        <v>43026.08333</v>
      </c>
      <c r="B570" s="19">
        <f>'Solar Power Plant Data'!H570</f>
        <v>186667</v>
      </c>
      <c r="C570" s="19">
        <f t="shared" si="1"/>
        <v>216667</v>
      </c>
      <c r="D570" s="19">
        <f t="shared" si="2"/>
        <v>-30000</v>
      </c>
      <c r="E570" s="21">
        <f t="shared" si="3"/>
        <v>30000</v>
      </c>
      <c r="F570" s="21">
        <f t="shared" si="4"/>
        <v>900000000</v>
      </c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3">
        <f>'Solar Power Plant Data'!A571</f>
        <v>43027.08333</v>
      </c>
      <c r="B571" s="19">
        <f>'Solar Power Plant Data'!H571</f>
        <v>0</v>
      </c>
      <c r="C571" s="19">
        <f t="shared" si="1"/>
        <v>0</v>
      </c>
      <c r="D571" s="19">
        <f t="shared" si="2"/>
        <v>0</v>
      </c>
      <c r="E571" s="21">
        <f t="shared" si="3"/>
        <v>0</v>
      </c>
      <c r="F571" s="21">
        <f t="shared" si="4"/>
        <v>0</v>
      </c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3">
        <f>'Solar Power Plant Data'!A572</f>
        <v>43028.08333</v>
      </c>
      <c r="B572" s="19">
        <f>'Solar Power Plant Data'!H572</f>
        <v>0</v>
      </c>
      <c r="C572" s="19">
        <f t="shared" si="1"/>
        <v>0</v>
      </c>
      <c r="D572" s="19">
        <f t="shared" si="2"/>
        <v>0</v>
      </c>
      <c r="E572" s="21">
        <f t="shared" si="3"/>
        <v>0</v>
      </c>
      <c r="F572" s="21">
        <f t="shared" si="4"/>
        <v>0</v>
      </c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3">
        <f>'Solar Power Plant Data'!A573</f>
        <v>43029.08333</v>
      </c>
      <c r="B573" s="19">
        <f>'Solar Power Plant Data'!H573</f>
        <v>0</v>
      </c>
      <c r="C573" s="19">
        <f t="shared" si="1"/>
        <v>0</v>
      </c>
      <c r="D573" s="19">
        <f t="shared" si="2"/>
        <v>0</v>
      </c>
      <c r="E573" s="21">
        <f t="shared" si="3"/>
        <v>0</v>
      </c>
      <c r="F573" s="21">
        <f t="shared" si="4"/>
        <v>0</v>
      </c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3">
        <f>'Solar Power Plant Data'!A574</f>
        <v>43030.08333</v>
      </c>
      <c r="B574" s="19">
        <f>'Solar Power Plant Data'!H574</f>
        <v>0</v>
      </c>
      <c r="C574" s="19">
        <f t="shared" si="1"/>
        <v>0</v>
      </c>
      <c r="D574" s="19">
        <f t="shared" si="2"/>
        <v>0</v>
      </c>
      <c r="E574" s="21">
        <f t="shared" si="3"/>
        <v>0</v>
      </c>
      <c r="F574" s="21">
        <f t="shared" si="4"/>
        <v>0</v>
      </c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3">
        <f>'Solar Power Plant Data'!A575</f>
        <v>43031.08333</v>
      </c>
      <c r="B575" s="19">
        <f>'Solar Power Plant Data'!H575</f>
        <v>0</v>
      </c>
      <c r="C575" s="19">
        <f t="shared" si="1"/>
        <v>0</v>
      </c>
      <c r="D575" s="19">
        <f t="shared" si="2"/>
        <v>0</v>
      </c>
      <c r="E575" s="21">
        <f t="shared" si="3"/>
        <v>0</v>
      </c>
      <c r="F575" s="21">
        <f t="shared" si="4"/>
        <v>0</v>
      </c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3">
        <f>'Solar Power Plant Data'!A576</f>
        <v>43032.08333</v>
      </c>
      <c r="B576" s="19">
        <f>'Solar Power Plant Data'!H576</f>
        <v>0</v>
      </c>
      <c r="C576" s="19">
        <f t="shared" si="1"/>
        <v>0</v>
      </c>
      <c r="D576" s="19">
        <f t="shared" si="2"/>
        <v>0</v>
      </c>
      <c r="E576" s="21">
        <f t="shared" si="3"/>
        <v>0</v>
      </c>
      <c r="F576" s="21">
        <f t="shared" si="4"/>
        <v>0</v>
      </c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3">
        <f>'Solar Power Plant Data'!A577</f>
        <v>43033.08333</v>
      </c>
      <c r="B577" s="19">
        <f>'Solar Power Plant Data'!H577</f>
        <v>0</v>
      </c>
      <c r="C577" s="19">
        <f t="shared" si="1"/>
        <v>0</v>
      </c>
      <c r="D577" s="19">
        <f t="shared" si="2"/>
        <v>0</v>
      </c>
      <c r="E577" s="21">
        <f t="shared" si="3"/>
        <v>0</v>
      </c>
      <c r="F577" s="21">
        <f t="shared" si="4"/>
        <v>0</v>
      </c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3">
        <f>'Solar Power Plant Data'!A578</f>
        <v>43034.08333</v>
      </c>
      <c r="B578" s="19">
        <f>'Solar Power Plant Data'!H578</f>
        <v>0</v>
      </c>
      <c r="C578" s="19">
        <f t="shared" si="1"/>
        <v>0</v>
      </c>
      <c r="D578" s="19">
        <f t="shared" si="2"/>
        <v>0</v>
      </c>
      <c r="E578" s="21">
        <f t="shared" si="3"/>
        <v>0</v>
      </c>
      <c r="F578" s="21">
        <f t="shared" si="4"/>
        <v>0</v>
      </c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3">
        <f>'Solar Power Plant Data'!A579</f>
        <v>43035.08333</v>
      </c>
      <c r="B579" s="19">
        <f>'Solar Power Plant Data'!H579</f>
        <v>0</v>
      </c>
      <c r="C579" s="19">
        <f t="shared" si="1"/>
        <v>0</v>
      </c>
      <c r="D579" s="19">
        <f t="shared" si="2"/>
        <v>0</v>
      </c>
      <c r="E579" s="21">
        <f t="shared" si="3"/>
        <v>0</v>
      </c>
      <c r="F579" s="21">
        <f t="shared" si="4"/>
        <v>0</v>
      </c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3">
        <f>'Solar Power Plant Data'!A580</f>
        <v>43036.08333</v>
      </c>
      <c r="B580" s="19">
        <f>'Solar Power Plant Data'!H580</f>
        <v>0</v>
      </c>
      <c r="C580" s="19">
        <f t="shared" si="1"/>
        <v>0</v>
      </c>
      <c r="D580" s="19">
        <f t="shared" si="2"/>
        <v>0</v>
      </c>
      <c r="E580" s="21">
        <f t="shared" si="3"/>
        <v>0</v>
      </c>
      <c r="F580" s="21">
        <f t="shared" si="4"/>
        <v>0</v>
      </c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3">
        <f>'Solar Power Plant Data'!A581</f>
        <v>43037.08333</v>
      </c>
      <c r="B581" s="19">
        <f>'Solar Power Plant Data'!H581</f>
        <v>0</v>
      </c>
      <c r="C581" s="19">
        <f t="shared" si="1"/>
        <v>0</v>
      </c>
      <c r="D581" s="19">
        <f t="shared" si="2"/>
        <v>0</v>
      </c>
      <c r="E581" s="21">
        <f t="shared" si="3"/>
        <v>0</v>
      </c>
      <c r="F581" s="21">
        <f t="shared" si="4"/>
        <v>0</v>
      </c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3">
        <f>'Solar Power Plant Data'!A582</f>
        <v>43038.08333</v>
      </c>
      <c r="B582" s="19">
        <f>'Solar Power Plant Data'!H582</f>
        <v>0</v>
      </c>
      <c r="C582" s="19">
        <f t="shared" si="1"/>
        <v>0</v>
      </c>
      <c r="D582" s="19">
        <f t="shared" si="2"/>
        <v>0</v>
      </c>
      <c r="E582" s="21">
        <f t="shared" si="3"/>
        <v>0</v>
      </c>
      <c r="F582" s="21">
        <f t="shared" si="4"/>
        <v>0</v>
      </c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3">
        <f>'Solar Power Plant Data'!A583</f>
        <v>43039.08333</v>
      </c>
      <c r="B583" s="19">
        <f>'Solar Power Plant Data'!H583</f>
        <v>0</v>
      </c>
      <c r="C583" s="19">
        <f t="shared" si="1"/>
        <v>0</v>
      </c>
      <c r="D583" s="19">
        <f t="shared" si="2"/>
        <v>0</v>
      </c>
      <c r="E583" s="21">
        <f t="shared" si="3"/>
        <v>0</v>
      </c>
      <c r="F583" s="21">
        <f t="shared" si="4"/>
        <v>0</v>
      </c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3">
        <f>'Solar Power Plant Data'!A584</f>
        <v>43040.08333</v>
      </c>
      <c r="B584" s="19">
        <f>'Solar Power Plant Data'!H584</f>
        <v>0</v>
      </c>
      <c r="C584" s="19">
        <f t="shared" si="1"/>
        <v>0</v>
      </c>
      <c r="D584" s="19">
        <f t="shared" si="2"/>
        <v>0</v>
      </c>
      <c r="E584" s="21">
        <f t="shared" si="3"/>
        <v>0</v>
      </c>
      <c r="F584" s="21">
        <f t="shared" si="4"/>
        <v>0</v>
      </c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3">
        <f>'Solar Power Plant Data'!A585</f>
        <v>43041.08333</v>
      </c>
      <c r="B585" s="19">
        <f>'Solar Power Plant Data'!H585</f>
        <v>0</v>
      </c>
      <c r="C585" s="19">
        <f t="shared" si="1"/>
        <v>0</v>
      </c>
      <c r="D585" s="19">
        <f t="shared" si="2"/>
        <v>0</v>
      </c>
      <c r="E585" s="21">
        <f t="shared" si="3"/>
        <v>0</v>
      </c>
      <c r="F585" s="21">
        <f t="shared" si="4"/>
        <v>0</v>
      </c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3">
        <f>'Solar Power Plant Data'!A586</f>
        <v>43042.08333</v>
      </c>
      <c r="B586" s="19">
        <f>'Solar Power Plant Data'!H586</f>
        <v>0</v>
      </c>
      <c r="C586" s="19">
        <f t="shared" si="1"/>
        <v>0</v>
      </c>
      <c r="D586" s="19">
        <f t="shared" si="2"/>
        <v>0</v>
      </c>
      <c r="E586" s="21">
        <f t="shared" si="3"/>
        <v>0</v>
      </c>
      <c r="F586" s="21">
        <f t="shared" si="4"/>
        <v>0</v>
      </c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3">
        <f>'Solar Power Plant Data'!A587</f>
        <v>43043.08333</v>
      </c>
      <c r="B587" s="19">
        <f>'Solar Power Plant Data'!H587</f>
        <v>0</v>
      </c>
      <c r="C587" s="19">
        <f t="shared" si="1"/>
        <v>0</v>
      </c>
      <c r="D587" s="19">
        <f t="shared" si="2"/>
        <v>0</v>
      </c>
      <c r="E587" s="21">
        <f t="shared" si="3"/>
        <v>0</v>
      </c>
      <c r="F587" s="21">
        <f t="shared" si="4"/>
        <v>0</v>
      </c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3">
        <f>'Solar Power Plant Data'!A588</f>
        <v>43044.08333</v>
      </c>
      <c r="B588" s="19">
        <f>'Solar Power Plant Data'!H588</f>
        <v>0</v>
      </c>
      <c r="C588" s="19">
        <f t="shared" si="1"/>
        <v>0</v>
      </c>
      <c r="D588" s="19">
        <f t="shared" si="2"/>
        <v>0</v>
      </c>
      <c r="E588" s="21">
        <f t="shared" si="3"/>
        <v>0</v>
      </c>
      <c r="F588" s="21">
        <f t="shared" si="4"/>
        <v>0</v>
      </c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3">
        <f>'Solar Power Plant Data'!A589</f>
        <v>43045.08333</v>
      </c>
      <c r="B589" s="19">
        <f>'Solar Power Plant Data'!H589</f>
        <v>1803333</v>
      </c>
      <c r="C589" s="19">
        <f t="shared" si="1"/>
        <v>263333</v>
      </c>
      <c r="D589" s="19">
        <f t="shared" si="2"/>
        <v>1540000</v>
      </c>
      <c r="E589" s="21">
        <f t="shared" si="3"/>
        <v>1540000</v>
      </c>
      <c r="F589" s="21">
        <f t="shared" si="4"/>
        <v>2371600000000</v>
      </c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3">
        <f>'Solar Power Plant Data'!A590</f>
        <v>43046.08333</v>
      </c>
      <c r="B590" s="19">
        <f>'Solar Power Plant Data'!H590</f>
        <v>7618333</v>
      </c>
      <c r="C590" s="19">
        <f t="shared" si="1"/>
        <v>8531667</v>
      </c>
      <c r="D590" s="19">
        <f t="shared" si="2"/>
        <v>-913334</v>
      </c>
      <c r="E590" s="21">
        <f t="shared" si="3"/>
        <v>913334</v>
      </c>
      <c r="F590" s="21">
        <f t="shared" si="4"/>
        <v>834178995556</v>
      </c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3">
        <f>'Solar Power Plant Data'!A591</f>
        <v>43047.08333</v>
      </c>
      <c r="B591" s="19">
        <f>'Solar Power Plant Data'!H591</f>
        <v>7238334</v>
      </c>
      <c r="C591" s="19">
        <f t="shared" si="1"/>
        <v>9733333</v>
      </c>
      <c r="D591" s="19">
        <f t="shared" si="2"/>
        <v>-2494999</v>
      </c>
      <c r="E591" s="21">
        <f t="shared" si="3"/>
        <v>2494999</v>
      </c>
      <c r="F591" s="21">
        <f t="shared" si="4"/>
        <v>6225020010001</v>
      </c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3">
        <f>'Solar Power Plant Data'!A592</f>
        <v>43048.08333</v>
      </c>
      <c r="B592" s="19">
        <f>'Solar Power Plant Data'!H592</f>
        <v>4638333</v>
      </c>
      <c r="C592" s="19">
        <f t="shared" si="1"/>
        <v>5561667</v>
      </c>
      <c r="D592" s="19">
        <f t="shared" si="2"/>
        <v>-923334</v>
      </c>
      <c r="E592" s="21">
        <f t="shared" si="3"/>
        <v>923334</v>
      </c>
      <c r="F592" s="21">
        <f t="shared" si="4"/>
        <v>852545675556</v>
      </c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3">
        <f>'Solar Power Plant Data'!A593</f>
        <v>43049.08333</v>
      </c>
      <c r="B593" s="19">
        <f>'Solar Power Plant Data'!H593</f>
        <v>1665001</v>
      </c>
      <c r="C593" s="19">
        <f t="shared" si="1"/>
        <v>2915001</v>
      </c>
      <c r="D593" s="19">
        <f t="shared" si="2"/>
        <v>-1250000</v>
      </c>
      <c r="E593" s="21">
        <f t="shared" si="3"/>
        <v>1250000</v>
      </c>
      <c r="F593" s="21">
        <f t="shared" si="4"/>
        <v>1562500000000</v>
      </c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3">
        <f>'Solar Power Plant Data'!A594</f>
        <v>43050.08333</v>
      </c>
      <c r="B594" s="19">
        <f>'Solar Power Plant Data'!H594</f>
        <v>27</v>
      </c>
      <c r="C594" s="19">
        <f t="shared" si="1"/>
        <v>186667</v>
      </c>
      <c r="D594" s="19">
        <f t="shared" si="2"/>
        <v>-186640</v>
      </c>
      <c r="E594" s="21">
        <f t="shared" si="3"/>
        <v>186640</v>
      </c>
      <c r="F594" s="21">
        <f t="shared" si="4"/>
        <v>34834489600</v>
      </c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3">
        <f>'Solar Power Plant Data'!A595</f>
        <v>43051.08333</v>
      </c>
      <c r="B595" s="19">
        <f>'Solar Power Plant Data'!H595</f>
        <v>0</v>
      </c>
      <c r="C595" s="19">
        <f t="shared" si="1"/>
        <v>0</v>
      </c>
      <c r="D595" s="19">
        <f t="shared" si="2"/>
        <v>0</v>
      </c>
      <c r="E595" s="21">
        <f t="shared" si="3"/>
        <v>0</v>
      </c>
      <c r="F595" s="21">
        <f t="shared" si="4"/>
        <v>0</v>
      </c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3">
        <f>'Solar Power Plant Data'!A596</f>
        <v>43052.08333</v>
      </c>
      <c r="B596" s="19">
        <f>'Solar Power Plant Data'!H596</f>
        <v>0</v>
      </c>
      <c r="C596" s="19">
        <f t="shared" si="1"/>
        <v>0</v>
      </c>
      <c r="D596" s="19">
        <f t="shared" si="2"/>
        <v>0</v>
      </c>
      <c r="E596" s="21">
        <f t="shared" si="3"/>
        <v>0</v>
      </c>
      <c r="F596" s="21">
        <f t="shared" si="4"/>
        <v>0</v>
      </c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3">
        <f>'Solar Power Plant Data'!A597</f>
        <v>43053.08333</v>
      </c>
      <c r="B597" s="19">
        <f>'Solar Power Plant Data'!H597</f>
        <v>0</v>
      </c>
      <c r="C597" s="19">
        <f t="shared" si="1"/>
        <v>0</v>
      </c>
      <c r="D597" s="19">
        <f t="shared" si="2"/>
        <v>0</v>
      </c>
      <c r="E597" s="21">
        <f t="shared" si="3"/>
        <v>0</v>
      </c>
      <c r="F597" s="21">
        <f t="shared" si="4"/>
        <v>0</v>
      </c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3">
        <f>'Solar Power Plant Data'!A598</f>
        <v>43054.08333</v>
      </c>
      <c r="B598" s="19">
        <f>'Solar Power Plant Data'!H598</f>
        <v>0</v>
      </c>
      <c r="C598" s="19">
        <f t="shared" si="1"/>
        <v>0</v>
      </c>
      <c r="D598" s="19">
        <f t="shared" si="2"/>
        <v>0</v>
      </c>
      <c r="E598" s="21">
        <f t="shared" si="3"/>
        <v>0</v>
      </c>
      <c r="F598" s="21">
        <f t="shared" si="4"/>
        <v>0</v>
      </c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3">
        <f>'Solar Power Plant Data'!A599</f>
        <v>43055.08333</v>
      </c>
      <c r="B599" s="19">
        <f>'Solar Power Plant Data'!H599</f>
        <v>0</v>
      </c>
      <c r="C599" s="19">
        <f t="shared" si="1"/>
        <v>0</v>
      </c>
      <c r="D599" s="19">
        <f t="shared" si="2"/>
        <v>0</v>
      </c>
      <c r="E599" s="21">
        <f t="shared" si="3"/>
        <v>0</v>
      </c>
      <c r="F599" s="21">
        <f t="shared" si="4"/>
        <v>0</v>
      </c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3">
        <f>'Solar Power Plant Data'!A600</f>
        <v>43056.08333</v>
      </c>
      <c r="B600" s="19">
        <f>'Solar Power Plant Data'!H600</f>
        <v>0</v>
      </c>
      <c r="C600" s="19">
        <f t="shared" si="1"/>
        <v>0</v>
      </c>
      <c r="D600" s="19">
        <f t="shared" si="2"/>
        <v>0</v>
      </c>
      <c r="E600" s="21">
        <f t="shared" si="3"/>
        <v>0</v>
      </c>
      <c r="F600" s="21">
        <f t="shared" si="4"/>
        <v>0</v>
      </c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3">
        <f>'Solar Power Plant Data'!A601</f>
        <v>43057.08333</v>
      </c>
      <c r="B601" s="19">
        <f>'Solar Power Plant Data'!H601</f>
        <v>0</v>
      </c>
      <c r="C601" s="19">
        <f t="shared" si="1"/>
        <v>0</v>
      </c>
      <c r="D601" s="19">
        <f t="shared" si="2"/>
        <v>0</v>
      </c>
      <c r="E601" s="21">
        <f t="shared" si="3"/>
        <v>0</v>
      </c>
      <c r="F601" s="21">
        <f t="shared" si="4"/>
        <v>0</v>
      </c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3">
        <f>'Solar Power Plant Data'!A602</f>
        <v>43058.08333</v>
      </c>
      <c r="B602" s="19">
        <f>'Solar Power Plant Data'!H602</f>
        <v>0</v>
      </c>
      <c r="C602" s="19">
        <f t="shared" si="1"/>
        <v>0</v>
      </c>
      <c r="D602" s="19">
        <f t="shared" si="2"/>
        <v>0</v>
      </c>
      <c r="E602" s="21">
        <f t="shared" si="3"/>
        <v>0</v>
      </c>
      <c r="F602" s="21">
        <f t="shared" si="4"/>
        <v>0</v>
      </c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3">
        <f>'Solar Power Plant Data'!A603</f>
        <v>43059.08333</v>
      </c>
      <c r="B603" s="19">
        <f>'Solar Power Plant Data'!H603</f>
        <v>0</v>
      </c>
      <c r="C603" s="19">
        <f t="shared" si="1"/>
        <v>0</v>
      </c>
      <c r="D603" s="19">
        <f t="shared" si="2"/>
        <v>0</v>
      </c>
      <c r="E603" s="21">
        <f t="shared" si="3"/>
        <v>0</v>
      </c>
      <c r="F603" s="21">
        <f t="shared" si="4"/>
        <v>0</v>
      </c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3">
        <f>'Solar Power Plant Data'!A604</f>
        <v>43060.08333</v>
      </c>
      <c r="B604" s="19">
        <f>'Solar Power Plant Data'!H604</f>
        <v>0</v>
      </c>
      <c r="C604" s="19">
        <f t="shared" si="1"/>
        <v>0</v>
      </c>
      <c r="D604" s="19">
        <f t="shared" si="2"/>
        <v>0</v>
      </c>
      <c r="E604" s="21">
        <f t="shared" si="3"/>
        <v>0</v>
      </c>
      <c r="F604" s="21">
        <f t="shared" si="4"/>
        <v>0</v>
      </c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3">
        <f>'Solar Power Plant Data'!A605</f>
        <v>43061.08333</v>
      </c>
      <c r="B605" s="19">
        <f>'Solar Power Plant Data'!H605</f>
        <v>0</v>
      </c>
      <c r="C605" s="19">
        <f t="shared" si="1"/>
        <v>0</v>
      </c>
      <c r="D605" s="19">
        <f t="shared" si="2"/>
        <v>0</v>
      </c>
      <c r="E605" s="21">
        <f t="shared" si="3"/>
        <v>0</v>
      </c>
      <c r="F605" s="21">
        <f t="shared" si="4"/>
        <v>0</v>
      </c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3">
        <f>'Solar Power Plant Data'!A606</f>
        <v>43062.08333</v>
      </c>
      <c r="B606" s="19">
        <f>'Solar Power Plant Data'!H606</f>
        <v>0</v>
      </c>
      <c r="C606" s="19">
        <f t="shared" si="1"/>
        <v>0</v>
      </c>
      <c r="D606" s="19">
        <f t="shared" si="2"/>
        <v>0</v>
      </c>
      <c r="E606" s="21">
        <f t="shared" si="3"/>
        <v>0</v>
      </c>
      <c r="F606" s="21">
        <f t="shared" si="4"/>
        <v>0</v>
      </c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3">
        <f>'Solar Power Plant Data'!A607</f>
        <v>43063.08333</v>
      </c>
      <c r="B607" s="19">
        <f>'Solar Power Plant Data'!H607</f>
        <v>0</v>
      </c>
      <c r="C607" s="19">
        <f t="shared" si="1"/>
        <v>0</v>
      </c>
      <c r="D607" s="19">
        <f t="shared" si="2"/>
        <v>0</v>
      </c>
      <c r="E607" s="21">
        <f t="shared" si="3"/>
        <v>0</v>
      </c>
      <c r="F607" s="21">
        <f t="shared" si="4"/>
        <v>0</v>
      </c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3">
        <f>'Solar Power Plant Data'!A608</f>
        <v>43064.08333</v>
      </c>
      <c r="B608" s="19">
        <f>'Solar Power Plant Data'!H608</f>
        <v>0</v>
      </c>
      <c r="C608" s="19">
        <f t="shared" si="1"/>
        <v>0</v>
      </c>
      <c r="D608" s="19">
        <f t="shared" si="2"/>
        <v>0</v>
      </c>
      <c r="E608" s="21">
        <f t="shared" si="3"/>
        <v>0</v>
      </c>
      <c r="F608" s="21">
        <f t="shared" si="4"/>
        <v>0</v>
      </c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3">
        <f>'Solar Power Plant Data'!A609</f>
        <v>43065.08333</v>
      </c>
      <c r="B609" s="19">
        <f>'Solar Power Plant Data'!H609</f>
        <v>0</v>
      </c>
      <c r="C609" s="19">
        <f t="shared" si="1"/>
        <v>0</v>
      </c>
      <c r="D609" s="19">
        <f t="shared" si="2"/>
        <v>0</v>
      </c>
      <c r="E609" s="21">
        <f t="shared" si="3"/>
        <v>0</v>
      </c>
      <c r="F609" s="21">
        <f t="shared" si="4"/>
        <v>0</v>
      </c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3">
        <f>'Solar Power Plant Data'!A610</f>
        <v>43066.08333</v>
      </c>
      <c r="B610" s="19">
        <f>'Solar Power Plant Data'!H610</f>
        <v>0</v>
      </c>
      <c r="C610" s="19">
        <f t="shared" si="1"/>
        <v>0</v>
      </c>
      <c r="D610" s="19">
        <f t="shared" si="2"/>
        <v>0</v>
      </c>
      <c r="E610" s="21">
        <f t="shared" si="3"/>
        <v>0</v>
      </c>
      <c r="F610" s="21">
        <f t="shared" si="4"/>
        <v>0</v>
      </c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3">
        <f>'Solar Power Plant Data'!A611</f>
        <v>43067.08333</v>
      </c>
      <c r="B611" s="19">
        <f>'Solar Power Plant Data'!H611</f>
        <v>0</v>
      </c>
      <c r="C611" s="19">
        <f t="shared" si="1"/>
        <v>0</v>
      </c>
      <c r="D611" s="19">
        <f t="shared" si="2"/>
        <v>0</v>
      </c>
      <c r="E611" s="21">
        <f t="shared" si="3"/>
        <v>0</v>
      </c>
      <c r="F611" s="21">
        <f t="shared" si="4"/>
        <v>0</v>
      </c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3">
        <f>'Solar Power Plant Data'!A612</f>
        <v>43068.08333</v>
      </c>
      <c r="B612" s="19">
        <f>'Solar Power Plant Data'!H612</f>
        <v>20</v>
      </c>
      <c r="C612" s="19">
        <f t="shared" si="1"/>
        <v>0</v>
      </c>
      <c r="D612" s="19">
        <f t="shared" si="2"/>
        <v>20</v>
      </c>
      <c r="E612" s="21">
        <f t="shared" si="3"/>
        <v>20</v>
      </c>
      <c r="F612" s="21">
        <f t="shared" si="4"/>
        <v>400</v>
      </c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3">
        <f>'Solar Power Plant Data'!A613</f>
        <v>43069.08333</v>
      </c>
      <c r="B613" s="19">
        <f>'Solar Power Plant Data'!H613</f>
        <v>5618334</v>
      </c>
      <c r="C613" s="19">
        <f t="shared" si="1"/>
        <v>1803333</v>
      </c>
      <c r="D613" s="19">
        <f t="shared" si="2"/>
        <v>3815001</v>
      </c>
      <c r="E613" s="21">
        <f t="shared" si="3"/>
        <v>3815001</v>
      </c>
      <c r="F613" s="21">
        <f t="shared" si="4"/>
        <v>14554232630001</v>
      </c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3">
        <f>'Solar Power Plant Data'!A614</f>
        <v>43070.08333</v>
      </c>
      <c r="B614" s="19">
        <f>'Solar Power Plant Data'!H614</f>
        <v>1455</v>
      </c>
      <c r="C614" s="19">
        <f t="shared" si="1"/>
        <v>7618333</v>
      </c>
      <c r="D614" s="19">
        <f t="shared" si="2"/>
        <v>-7616878</v>
      </c>
      <c r="E614" s="21">
        <f t="shared" si="3"/>
        <v>7616878</v>
      </c>
      <c r="F614" s="21">
        <f t="shared" si="4"/>
        <v>58016830466884</v>
      </c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3">
        <f>'Solar Power Plant Data'!A615</f>
        <v>43071.08333</v>
      </c>
      <c r="B615" s="19">
        <f>'Solar Power Plant Data'!H615</f>
        <v>16063333</v>
      </c>
      <c r="C615" s="19">
        <f t="shared" si="1"/>
        <v>7238334</v>
      </c>
      <c r="D615" s="19">
        <f t="shared" si="2"/>
        <v>8824999</v>
      </c>
      <c r="E615" s="21">
        <f t="shared" si="3"/>
        <v>8824999</v>
      </c>
      <c r="F615" s="21">
        <f t="shared" si="4"/>
        <v>77880607350001</v>
      </c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3">
        <f>'Solar Power Plant Data'!A616</f>
        <v>43072.08333</v>
      </c>
      <c r="B616" s="19">
        <f>'Solar Power Plant Data'!H616</f>
        <v>557</v>
      </c>
      <c r="C616" s="19">
        <f t="shared" si="1"/>
        <v>4638333</v>
      </c>
      <c r="D616" s="19">
        <f t="shared" si="2"/>
        <v>-4637776</v>
      </c>
      <c r="E616" s="21">
        <f t="shared" si="3"/>
        <v>4637776</v>
      </c>
      <c r="F616" s="21">
        <f t="shared" si="4"/>
        <v>21508966226176</v>
      </c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3">
        <f>'Solar Power Plant Data'!A617</f>
        <v>43073.08333</v>
      </c>
      <c r="B617" s="19">
        <f>'Solar Power Plant Data'!H617</f>
        <v>2921666</v>
      </c>
      <c r="C617" s="19">
        <f t="shared" si="1"/>
        <v>1665001</v>
      </c>
      <c r="D617" s="19">
        <f t="shared" si="2"/>
        <v>1256665</v>
      </c>
      <c r="E617" s="21">
        <f t="shared" si="3"/>
        <v>1256665</v>
      </c>
      <c r="F617" s="21">
        <f t="shared" si="4"/>
        <v>1579206922225</v>
      </c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3">
        <f>'Solar Power Plant Data'!A618</f>
        <v>43074.08333</v>
      </c>
      <c r="B618" s="19">
        <f>'Solar Power Plant Data'!H618</f>
        <v>1013333</v>
      </c>
      <c r="C618" s="19">
        <f t="shared" si="1"/>
        <v>27</v>
      </c>
      <c r="D618" s="19">
        <f t="shared" si="2"/>
        <v>1013306</v>
      </c>
      <c r="E618" s="21">
        <f t="shared" si="3"/>
        <v>1013306</v>
      </c>
      <c r="F618" s="21">
        <f t="shared" si="4"/>
        <v>1026789049636</v>
      </c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3">
        <f>'Solar Power Plant Data'!A619</f>
        <v>43075.08333</v>
      </c>
      <c r="B619" s="19">
        <f>'Solar Power Plant Data'!H619</f>
        <v>0</v>
      </c>
      <c r="C619" s="19">
        <f t="shared" si="1"/>
        <v>0</v>
      </c>
      <c r="D619" s="19">
        <f t="shared" si="2"/>
        <v>0</v>
      </c>
      <c r="E619" s="21">
        <f t="shared" si="3"/>
        <v>0</v>
      </c>
      <c r="F619" s="21">
        <f t="shared" si="4"/>
        <v>0</v>
      </c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3">
        <f>'Solar Power Plant Data'!A620</f>
        <v>43076.08333</v>
      </c>
      <c r="B620" s="19">
        <f>'Solar Power Plant Data'!H620</f>
        <v>0</v>
      </c>
      <c r="C620" s="19">
        <f t="shared" si="1"/>
        <v>0</v>
      </c>
      <c r="D620" s="19">
        <f t="shared" si="2"/>
        <v>0</v>
      </c>
      <c r="E620" s="21">
        <f t="shared" si="3"/>
        <v>0</v>
      </c>
      <c r="F620" s="21">
        <f t="shared" si="4"/>
        <v>0</v>
      </c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3">
        <f>'Solar Power Plant Data'!A621</f>
        <v>43077.08333</v>
      </c>
      <c r="B621" s="19">
        <f>'Solar Power Plant Data'!H621</f>
        <v>0</v>
      </c>
      <c r="C621" s="19">
        <f t="shared" si="1"/>
        <v>0</v>
      </c>
      <c r="D621" s="19">
        <f t="shared" si="2"/>
        <v>0</v>
      </c>
      <c r="E621" s="21">
        <f t="shared" si="3"/>
        <v>0</v>
      </c>
      <c r="F621" s="21">
        <f t="shared" si="4"/>
        <v>0</v>
      </c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3">
        <f>'Solar Power Plant Data'!A622</f>
        <v>43078.08333</v>
      </c>
      <c r="B622" s="19">
        <f>'Solar Power Plant Data'!H622</f>
        <v>0</v>
      </c>
      <c r="C622" s="19">
        <f t="shared" si="1"/>
        <v>0</v>
      </c>
      <c r="D622" s="19">
        <f t="shared" si="2"/>
        <v>0</v>
      </c>
      <c r="E622" s="21">
        <f t="shared" si="3"/>
        <v>0</v>
      </c>
      <c r="F622" s="21">
        <f t="shared" si="4"/>
        <v>0</v>
      </c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3">
        <f>'Solar Power Plant Data'!A623</f>
        <v>43079.08333</v>
      </c>
      <c r="B623" s="19">
        <f>'Solar Power Plant Data'!H623</f>
        <v>0</v>
      </c>
      <c r="C623" s="19">
        <f t="shared" si="1"/>
        <v>0</v>
      </c>
      <c r="D623" s="19">
        <f t="shared" si="2"/>
        <v>0</v>
      </c>
      <c r="E623" s="21">
        <f t="shared" si="3"/>
        <v>0</v>
      </c>
      <c r="F623" s="21">
        <f t="shared" si="4"/>
        <v>0</v>
      </c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3">
        <f>'Solar Power Plant Data'!A624</f>
        <v>43080.08333</v>
      </c>
      <c r="B624" s="19">
        <f>'Solar Power Plant Data'!H624</f>
        <v>0</v>
      </c>
      <c r="C624" s="19">
        <f t="shared" si="1"/>
        <v>0</v>
      </c>
      <c r="D624" s="19">
        <f t="shared" si="2"/>
        <v>0</v>
      </c>
      <c r="E624" s="21">
        <f t="shared" si="3"/>
        <v>0</v>
      </c>
      <c r="F624" s="21">
        <f t="shared" si="4"/>
        <v>0</v>
      </c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3">
        <f>'Solar Power Plant Data'!A625</f>
        <v>43081.08333</v>
      </c>
      <c r="B625" s="19">
        <f>'Solar Power Plant Data'!H625</f>
        <v>0</v>
      </c>
      <c r="C625" s="19">
        <f t="shared" si="1"/>
        <v>0</v>
      </c>
      <c r="D625" s="19">
        <f t="shared" si="2"/>
        <v>0</v>
      </c>
      <c r="E625" s="21">
        <f t="shared" si="3"/>
        <v>0</v>
      </c>
      <c r="F625" s="21">
        <f t="shared" si="4"/>
        <v>0</v>
      </c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3">
        <f>'Solar Power Plant Data'!A626</f>
        <v>43082.08333</v>
      </c>
      <c r="B626" s="19">
        <f>'Solar Power Plant Data'!H626</f>
        <v>0</v>
      </c>
      <c r="C626" s="19">
        <f t="shared" si="1"/>
        <v>0</v>
      </c>
      <c r="D626" s="19">
        <f t="shared" si="2"/>
        <v>0</v>
      </c>
      <c r="E626" s="21">
        <f t="shared" si="3"/>
        <v>0</v>
      </c>
      <c r="F626" s="21">
        <f t="shared" si="4"/>
        <v>0</v>
      </c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3">
        <f>'Solar Power Plant Data'!A627</f>
        <v>43083.08333</v>
      </c>
      <c r="B627" s="19">
        <f>'Solar Power Plant Data'!H627</f>
        <v>0</v>
      </c>
      <c r="C627" s="19">
        <f t="shared" si="1"/>
        <v>0</v>
      </c>
      <c r="D627" s="19">
        <f t="shared" si="2"/>
        <v>0</v>
      </c>
      <c r="E627" s="21">
        <f t="shared" si="3"/>
        <v>0</v>
      </c>
      <c r="F627" s="21">
        <f t="shared" si="4"/>
        <v>0</v>
      </c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3">
        <f>'Solar Power Plant Data'!A628</f>
        <v>43084.08333</v>
      </c>
      <c r="B628" s="19">
        <f>'Solar Power Plant Data'!H628</f>
        <v>0</v>
      </c>
      <c r="C628" s="19">
        <f t="shared" si="1"/>
        <v>0</v>
      </c>
      <c r="D628" s="19">
        <f t="shared" si="2"/>
        <v>0</v>
      </c>
      <c r="E628" s="21">
        <f t="shared" si="3"/>
        <v>0</v>
      </c>
      <c r="F628" s="21">
        <f t="shared" si="4"/>
        <v>0</v>
      </c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3">
        <f>'Solar Power Plant Data'!A629</f>
        <v>43085.08333</v>
      </c>
      <c r="B629" s="19">
        <f>'Solar Power Plant Data'!H629</f>
        <v>0</v>
      </c>
      <c r="C629" s="19">
        <f t="shared" si="1"/>
        <v>0</v>
      </c>
      <c r="D629" s="19">
        <f t="shared" si="2"/>
        <v>0</v>
      </c>
      <c r="E629" s="21">
        <f t="shared" si="3"/>
        <v>0</v>
      </c>
      <c r="F629" s="21">
        <f t="shared" si="4"/>
        <v>0</v>
      </c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3">
        <f>'Solar Power Plant Data'!A630</f>
        <v>43086.08333</v>
      </c>
      <c r="B630" s="19">
        <f>'Solar Power Plant Data'!H630</f>
        <v>0</v>
      </c>
      <c r="C630" s="19">
        <f t="shared" si="1"/>
        <v>0</v>
      </c>
      <c r="D630" s="19">
        <f t="shared" si="2"/>
        <v>0</v>
      </c>
      <c r="E630" s="21">
        <f t="shared" si="3"/>
        <v>0</v>
      </c>
      <c r="F630" s="21">
        <f t="shared" si="4"/>
        <v>0</v>
      </c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3">
        <f>'Solar Power Plant Data'!A631</f>
        <v>43087.08333</v>
      </c>
      <c r="B631" s="19">
        <f>'Solar Power Plant Data'!H631</f>
        <v>0</v>
      </c>
      <c r="C631" s="19">
        <f t="shared" si="1"/>
        <v>0</v>
      </c>
      <c r="D631" s="19">
        <f t="shared" si="2"/>
        <v>0</v>
      </c>
      <c r="E631" s="21">
        <f t="shared" si="3"/>
        <v>0</v>
      </c>
      <c r="F631" s="21">
        <f t="shared" si="4"/>
        <v>0</v>
      </c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3">
        <f>'Solar Power Plant Data'!A632</f>
        <v>43088.08333</v>
      </c>
      <c r="B632" s="19">
        <f>'Solar Power Plant Data'!H632</f>
        <v>0</v>
      </c>
      <c r="C632" s="19">
        <f t="shared" si="1"/>
        <v>0</v>
      </c>
      <c r="D632" s="19">
        <f t="shared" si="2"/>
        <v>0</v>
      </c>
      <c r="E632" s="21">
        <f t="shared" si="3"/>
        <v>0</v>
      </c>
      <c r="F632" s="21">
        <f t="shared" si="4"/>
        <v>0</v>
      </c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3">
        <f>'Solar Power Plant Data'!A633</f>
        <v>43089.08333</v>
      </c>
      <c r="B633" s="19">
        <f>'Solar Power Plant Data'!H633</f>
        <v>0</v>
      </c>
      <c r="C633" s="19">
        <f t="shared" si="1"/>
        <v>0</v>
      </c>
      <c r="D633" s="19">
        <f t="shared" si="2"/>
        <v>0</v>
      </c>
      <c r="E633" s="21">
        <f t="shared" si="3"/>
        <v>0</v>
      </c>
      <c r="F633" s="21">
        <f t="shared" si="4"/>
        <v>0</v>
      </c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3">
        <f>'Solar Power Plant Data'!A634</f>
        <v>43090.08333</v>
      </c>
      <c r="B634" s="19">
        <f>'Solar Power Plant Data'!H634</f>
        <v>0</v>
      </c>
      <c r="C634" s="19">
        <f t="shared" si="1"/>
        <v>0</v>
      </c>
      <c r="D634" s="19">
        <f t="shared" si="2"/>
        <v>0</v>
      </c>
      <c r="E634" s="21">
        <f t="shared" si="3"/>
        <v>0</v>
      </c>
      <c r="F634" s="21">
        <f t="shared" si="4"/>
        <v>0</v>
      </c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3">
        <f>'Solar Power Plant Data'!A635</f>
        <v>43091.08333</v>
      </c>
      <c r="B635" s="19">
        <f>'Solar Power Plant Data'!H635</f>
        <v>0</v>
      </c>
      <c r="C635" s="19">
        <f t="shared" si="1"/>
        <v>0</v>
      </c>
      <c r="D635" s="19">
        <f t="shared" si="2"/>
        <v>0</v>
      </c>
      <c r="E635" s="21">
        <f t="shared" si="3"/>
        <v>0</v>
      </c>
      <c r="F635" s="21">
        <f t="shared" si="4"/>
        <v>0</v>
      </c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3">
        <f>'Solar Power Plant Data'!A636</f>
        <v>43092.08333</v>
      </c>
      <c r="B636" s="19">
        <f>'Solar Power Plant Data'!H636</f>
        <v>0</v>
      </c>
      <c r="C636" s="19">
        <f t="shared" si="1"/>
        <v>20</v>
      </c>
      <c r="D636" s="19">
        <f t="shared" si="2"/>
        <v>-20</v>
      </c>
      <c r="E636" s="21">
        <f t="shared" si="3"/>
        <v>20</v>
      </c>
      <c r="F636" s="21">
        <f t="shared" si="4"/>
        <v>400</v>
      </c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3">
        <f>'Solar Power Plant Data'!A637</f>
        <v>43093.08333</v>
      </c>
      <c r="B637" s="19">
        <f>'Solar Power Plant Data'!H637</f>
        <v>0</v>
      </c>
      <c r="C637" s="19">
        <f t="shared" si="1"/>
        <v>5618334</v>
      </c>
      <c r="D637" s="19">
        <f t="shared" si="2"/>
        <v>-5618334</v>
      </c>
      <c r="E637" s="21">
        <f t="shared" si="3"/>
        <v>5618334</v>
      </c>
      <c r="F637" s="21">
        <f t="shared" si="4"/>
        <v>31565676935556</v>
      </c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3">
        <f>'Solar Power Plant Data'!A638</f>
        <v>43094.08333</v>
      </c>
      <c r="B638" s="19">
        <f>'Solar Power Plant Data'!H638</f>
        <v>0</v>
      </c>
      <c r="C638" s="19">
        <f t="shared" si="1"/>
        <v>1455</v>
      </c>
      <c r="D638" s="19">
        <f t="shared" si="2"/>
        <v>-1455</v>
      </c>
      <c r="E638" s="21">
        <f t="shared" si="3"/>
        <v>1455</v>
      </c>
      <c r="F638" s="21">
        <f t="shared" si="4"/>
        <v>2117025</v>
      </c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3">
        <f>'Solar Power Plant Data'!A639</f>
        <v>43095.08333</v>
      </c>
      <c r="B639" s="19">
        <f>'Solar Power Plant Data'!H639</f>
        <v>0</v>
      </c>
      <c r="C639" s="19">
        <f t="shared" si="1"/>
        <v>16063333</v>
      </c>
      <c r="D639" s="19">
        <f t="shared" si="2"/>
        <v>-16063333</v>
      </c>
      <c r="E639" s="21">
        <f t="shared" si="3"/>
        <v>16063333</v>
      </c>
      <c r="F639" s="21">
        <f t="shared" si="4"/>
        <v>258030667068889</v>
      </c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3">
        <f>'Solar Power Plant Data'!A640</f>
        <v>43096.08333</v>
      </c>
      <c r="B640" s="19">
        <f>'Solar Power Plant Data'!H640</f>
        <v>0</v>
      </c>
      <c r="C640" s="19">
        <f t="shared" si="1"/>
        <v>557</v>
      </c>
      <c r="D640" s="19">
        <f t="shared" si="2"/>
        <v>-557</v>
      </c>
      <c r="E640" s="21">
        <f t="shared" si="3"/>
        <v>557</v>
      </c>
      <c r="F640" s="21">
        <f t="shared" si="4"/>
        <v>310249</v>
      </c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3">
        <f>'Solar Power Plant Data'!A641</f>
        <v>43097.08333</v>
      </c>
      <c r="B641" s="19">
        <f>'Solar Power Plant Data'!H641</f>
        <v>0</v>
      </c>
      <c r="C641" s="19">
        <f t="shared" si="1"/>
        <v>2921666</v>
      </c>
      <c r="D641" s="19">
        <f t="shared" si="2"/>
        <v>-2921666</v>
      </c>
      <c r="E641" s="21">
        <f t="shared" si="3"/>
        <v>2921666</v>
      </c>
      <c r="F641" s="21">
        <f t="shared" si="4"/>
        <v>8536132215556</v>
      </c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3">
        <f>'Solar Power Plant Data'!A642</f>
        <v>43098.08333</v>
      </c>
      <c r="B642" s="19">
        <f>'Solar Power Plant Data'!H642</f>
        <v>0</v>
      </c>
      <c r="C642" s="19">
        <f t="shared" si="1"/>
        <v>1013333</v>
      </c>
      <c r="D642" s="19">
        <f t="shared" si="2"/>
        <v>-1013333</v>
      </c>
      <c r="E642" s="21">
        <f t="shared" si="3"/>
        <v>1013333</v>
      </c>
      <c r="F642" s="21">
        <f t="shared" si="4"/>
        <v>1026843768889</v>
      </c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3">
        <f>'Solar Power Plant Data'!A643</f>
        <v>43099.08333</v>
      </c>
      <c r="B643" s="19">
        <f>'Solar Power Plant Data'!H643</f>
        <v>0</v>
      </c>
      <c r="C643" s="19">
        <f t="shared" si="1"/>
        <v>0</v>
      </c>
      <c r="D643" s="19">
        <f t="shared" si="2"/>
        <v>0</v>
      </c>
      <c r="E643" s="21">
        <f t="shared" si="3"/>
        <v>0</v>
      </c>
      <c r="F643" s="21">
        <f t="shared" si="4"/>
        <v>0</v>
      </c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3">
        <f>'Solar Power Plant Data'!A644</f>
        <v>43100.08333</v>
      </c>
      <c r="B644" s="19">
        <f>'Solar Power Plant Data'!H644</f>
        <v>0</v>
      </c>
      <c r="C644" s="19">
        <f t="shared" si="1"/>
        <v>0</v>
      </c>
      <c r="D644" s="19">
        <f t="shared" si="2"/>
        <v>0</v>
      </c>
      <c r="E644" s="21">
        <f t="shared" si="3"/>
        <v>0</v>
      </c>
      <c r="F644" s="21">
        <f t="shared" si="4"/>
        <v>0</v>
      </c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3">
        <f>'Solar Power Plant Data'!A645</f>
        <v>43101.08333</v>
      </c>
      <c r="B645" s="19">
        <f>'Solar Power Plant Data'!H645</f>
        <v>0</v>
      </c>
      <c r="C645" s="19">
        <f t="shared" si="1"/>
        <v>0</v>
      </c>
      <c r="D645" s="19">
        <f t="shared" si="2"/>
        <v>0</v>
      </c>
      <c r="E645" s="21">
        <f t="shared" si="3"/>
        <v>0</v>
      </c>
      <c r="F645" s="21">
        <f t="shared" si="4"/>
        <v>0</v>
      </c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3">
        <f>'Solar Power Plant Data'!A646</f>
        <v>43102.08333</v>
      </c>
      <c r="B646" s="19">
        <f>'Solar Power Plant Data'!H646</f>
        <v>0</v>
      </c>
      <c r="C646" s="19">
        <f t="shared" si="1"/>
        <v>0</v>
      </c>
      <c r="D646" s="19">
        <f t="shared" si="2"/>
        <v>0</v>
      </c>
      <c r="E646" s="21">
        <f t="shared" si="3"/>
        <v>0</v>
      </c>
      <c r="F646" s="21">
        <f t="shared" si="4"/>
        <v>0</v>
      </c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3">
        <f>'Solar Power Plant Data'!A647</f>
        <v>43103.08333</v>
      </c>
      <c r="B647" s="19">
        <f>'Solar Power Plant Data'!H647</f>
        <v>0</v>
      </c>
      <c r="C647" s="19">
        <f t="shared" si="1"/>
        <v>0</v>
      </c>
      <c r="D647" s="19">
        <f t="shared" si="2"/>
        <v>0</v>
      </c>
      <c r="E647" s="21">
        <f t="shared" si="3"/>
        <v>0</v>
      </c>
      <c r="F647" s="21">
        <f t="shared" si="4"/>
        <v>0</v>
      </c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3">
        <f>'Solar Power Plant Data'!A648</f>
        <v>43104.08333</v>
      </c>
      <c r="B648" s="19">
        <f>'Solar Power Plant Data'!H648</f>
        <v>0</v>
      </c>
      <c r="C648" s="19">
        <f t="shared" si="1"/>
        <v>0</v>
      </c>
      <c r="D648" s="19">
        <f t="shared" si="2"/>
        <v>0</v>
      </c>
      <c r="E648" s="21">
        <f t="shared" si="3"/>
        <v>0</v>
      </c>
      <c r="F648" s="21">
        <f t="shared" si="4"/>
        <v>0</v>
      </c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3">
        <f>'Solar Power Plant Data'!A649</f>
        <v>43105.08333</v>
      </c>
      <c r="B649" s="19">
        <f>'Solar Power Plant Data'!H649</f>
        <v>0</v>
      </c>
      <c r="C649" s="19">
        <f t="shared" si="1"/>
        <v>0</v>
      </c>
      <c r="D649" s="19">
        <f t="shared" si="2"/>
        <v>0</v>
      </c>
      <c r="E649" s="21">
        <f t="shared" si="3"/>
        <v>0</v>
      </c>
      <c r="F649" s="21">
        <f t="shared" si="4"/>
        <v>0</v>
      </c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3">
        <f>'Solar Power Plant Data'!A650</f>
        <v>43106.08333</v>
      </c>
      <c r="B650" s="19">
        <f>'Solar Power Plant Data'!H650</f>
        <v>0</v>
      </c>
      <c r="C650" s="19">
        <f t="shared" si="1"/>
        <v>0</v>
      </c>
      <c r="D650" s="19">
        <f t="shared" si="2"/>
        <v>0</v>
      </c>
      <c r="E650" s="21">
        <f t="shared" si="3"/>
        <v>0</v>
      </c>
      <c r="F650" s="21">
        <f t="shared" si="4"/>
        <v>0</v>
      </c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3">
        <f>'Solar Power Plant Data'!A651</f>
        <v>43107.08333</v>
      </c>
      <c r="B651" s="19">
        <f>'Solar Power Plant Data'!H651</f>
        <v>0</v>
      </c>
      <c r="C651" s="19">
        <f t="shared" si="1"/>
        <v>0</v>
      </c>
      <c r="D651" s="19">
        <f t="shared" si="2"/>
        <v>0</v>
      </c>
      <c r="E651" s="21">
        <f t="shared" si="3"/>
        <v>0</v>
      </c>
      <c r="F651" s="21">
        <f t="shared" si="4"/>
        <v>0</v>
      </c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3">
        <f>'Solar Power Plant Data'!A652</f>
        <v>43108.08333</v>
      </c>
      <c r="B652" s="19">
        <f>'Solar Power Plant Data'!H652</f>
        <v>0</v>
      </c>
      <c r="C652" s="19">
        <f t="shared" si="1"/>
        <v>0</v>
      </c>
      <c r="D652" s="19">
        <f t="shared" si="2"/>
        <v>0</v>
      </c>
      <c r="E652" s="21">
        <f t="shared" si="3"/>
        <v>0</v>
      </c>
      <c r="F652" s="21">
        <f t="shared" si="4"/>
        <v>0</v>
      </c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3">
        <f>'Solar Power Plant Data'!A653</f>
        <v>43109.08333</v>
      </c>
      <c r="B653" s="19">
        <f>'Solar Power Plant Data'!H653</f>
        <v>0</v>
      </c>
      <c r="C653" s="19">
        <f t="shared" si="1"/>
        <v>0</v>
      </c>
      <c r="D653" s="19">
        <f t="shared" si="2"/>
        <v>0</v>
      </c>
      <c r="E653" s="21">
        <f t="shared" si="3"/>
        <v>0</v>
      </c>
      <c r="F653" s="21">
        <f t="shared" si="4"/>
        <v>0</v>
      </c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3">
        <f>'Solar Power Plant Data'!A654</f>
        <v>43110.08333</v>
      </c>
      <c r="B654" s="19">
        <f>'Solar Power Plant Data'!H654</f>
        <v>0</v>
      </c>
      <c r="C654" s="19">
        <f t="shared" si="1"/>
        <v>0</v>
      </c>
      <c r="D654" s="19">
        <f t="shared" si="2"/>
        <v>0</v>
      </c>
      <c r="E654" s="21">
        <f t="shared" si="3"/>
        <v>0</v>
      </c>
      <c r="F654" s="21">
        <f t="shared" si="4"/>
        <v>0</v>
      </c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3">
        <f>'Solar Power Plant Data'!A655</f>
        <v>43111.08333</v>
      </c>
      <c r="B655" s="19">
        <f>'Solar Power Plant Data'!H655</f>
        <v>0</v>
      </c>
      <c r="C655" s="19">
        <f t="shared" si="1"/>
        <v>0</v>
      </c>
      <c r="D655" s="19">
        <f t="shared" si="2"/>
        <v>0</v>
      </c>
      <c r="E655" s="21">
        <f t="shared" si="3"/>
        <v>0</v>
      </c>
      <c r="F655" s="21">
        <f t="shared" si="4"/>
        <v>0</v>
      </c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3">
        <f>'Solar Power Plant Data'!A656</f>
        <v>43112.08333</v>
      </c>
      <c r="B656" s="19">
        <f>'Solar Power Plant Data'!H656</f>
        <v>0</v>
      </c>
      <c r="C656" s="19">
        <f t="shared" si="1"/>
        <v>0</v>
      </c>
      <c r="D656" s="19">
        <f t="shared" si="2"/>
        <v>0</v>
      </c>
      <c r="E656" s="21">
        <f t="shared" si="3"/>
        <v>0</v>
      </c>
      <c r="F656" s="21">
        <f t="shared" si="4"/>
        <v>0</v>
      </c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3">
        <f>'Solar Power Plant Data'!A657</f>
        <v>43113.08333</v>
      </c>
      <c r="B657" s="19">
        <f>'Solar Power Plant Data'!H657</f>
        <v>0</v>
      </c>
      <c r="C657" s="19">
        <f t="shared" si="1"/>
        <v>0</v>
      </c>
      <c r="D657" s="19">
        <f t="shared" si="2"/>
        <v>0</v>
      </c>
      <c r="E657" s="21">
        <f t="shared" si="3"/>
        <v>0</v>
      </c>
      <c r="F657" s="21">
        <f t="shared" si="4"/>
        <v>0</v>
      </c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3">
        <f>'Solar Power Plant Data'!A658</f>
        <v>43114.08333</v>
      </c>
      <c r="B658" s="19">
        <f>'Solar Power Plant Data'!H658</f>
        <v>0</v>
      </c>
      <c r="C658" s="19">
        <f t="shared" si="1"/>
        <v>0</v>
      </c>
      <c r="D658" s="19">
        <f t="shared" si="2"/>
        <v>0</v>
      </c>
      <c r="E658" s="21">
        <f t="shared" si="3"/>
        <v>0</v>
      </c>
      <c r="F658" s="21">
        <f t="shared" si="4"/>
        <v>0</v>
      </c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3">
        <f>'Solar Power Plant Data'!A659</f>
        <v>43115.08333</v>
      </c>
      <c r="B659" s="19">
        <f>'Solar Power Plant Data'!H659</f>
        <v>0</v>
      </c>
      <c r="C659" s="19">
        <f t="shared" si="1"/>
        <v>0</v>
      </c>
      <c r="D659" s="19">
        <f t="shared" si="2"/>
        <v>0</v>
      </c>
      <c r="E659" s="21">
        <f t="shared" si="3"/>
        <v>0</v>
      </c>
      <c r="F659" s="21">
        <f t="shared" si="4"/>
        <v>0</v>
      </c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3">
        <f>'Solar Power Plant Data'!A660</f>
        <v>43116.08333</v>
      </c>
      <c r="B660" s="19">
        <f>'Solar Power Plant Data'!H660</f>
        <v>0</v>
      </c>
      <c r="C660" s="19">
        <f t="shared" si="1"/>
        <v>0</v>
      </c>
      <c r="D660" s="19">
        <f t="shared" si="2"/>
        <v>0</v>
      </c>
      <c r="E660" s="21">
        <f t="shared" si="3"/>
        <v>0</v>
      </c>
      <c r="F660" s="21">
        <f t="shared" si="4"/>
        <v>0</v>
      </c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3">
        <f>'Solar Power Plant Data'!A661</f>
        <v>43117.08333</v>
      </c>
      <c r="B661" s="19">
        <f>'Solar Power Plant Data'!H661</f>
        <v>2143333</v>
      </c>
      <c r="C661" s="19">
        <f t="shared" si="1"/>
        <v>0</v>
      </c>
      <c r="D661" s="19">
        <f t="shared" si="2"/>
        <v>2143333</v>
      </c>
      <c r="E661" s="21">
        <f t="shared" si="3"/>
        <v>2143333</v>
      </c>
      <c r="F661" s="21">
        <f t="shared" si="4"/>
        <v>4593876348889</v>
      </c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3">
        <f>'Solar Power Plant Data'!A662</f>
        <v>43118.08333</v>
      </c>
      <c r="B662" s="19">
        <f>'Solar Power Plant Data'!H662</f>
        <v>387</v>
      </c>
      <c r="C662" s="19">
        <f t="shared" si="1"/>
        <v>0</v>
      </c>
      <c r="D662" s="19">
        <f t="shared" si="2"/>
        <v>387</v>
      </c>
      <c r="E662" s="21">
        <f t="shared" si="3"/>
        <v>387</v>
      </c>
      <c r="F662" s="21">
        <f t="shared" si="4"/>
        <v>149769</v>
      </c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3">
        <f>'Solar Power Plant Data'!A663</f>
        <v>43119.08333</v>
      </c>
      <c r="B663" s="19">
        <f>'Solar Power Plant Data'!H663</f>
        <v>2235001</v>
      </c>
      <c r="C663" s="19">
        <f t="shared" si="1"/>
        <v>0</v>
      </c>
      <c r="D663" s="19">
        <f t="shared" si="2"/>
        <v>2235001</v>
      </c>
      <c r="E663" s="21">
        <f t="shared" si="3"/>
        <v>2235001</v>
      </c>
      <c r="F663" s="21">
        <f t="shared" si="4"/>
        <v>4995229470001</v>
      </c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3">
        <f>'Solar Power Plant Data'!A664</f>
        <v>43120.08333</v>
      </c>
      <c r="B664" s="19">
        <f>'Solar Power Plant Data'!H664</f>
        <v>145</v>
      </c>
      <c r="C664" s="19">
        <f t="shared" si="1"/>
        <v>0</v>
      </c>
      <c r="D664" s="19">
        <f t="shared" si="2"/>
        <v>145</v>
      </c>
      <c r="E664" s="21">
        <f t="shared" si="3"/>
        <v>145</v>
      </c>
      <c r="F664" s="21">
        <f t="shared" si="4"/>
        <v>21025</v>
      </c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3">
        <f>'Solar Power Plant Data'!A665</f>
        <v>43121.08333</v>
      </c>
      <c r="B665" s="19">
        <f>'Solar Power Plant Data'!H665</f>
        <v>386667</v>
      </c>
      <c r="C665" s="19">
        <f t="shared" si="1"/>
        <v>0</v>
      </c>
      <c r="D665" s="19">
        <f t="shared" si="2"/>
        <v>386667</v>
      </c>
      <c r="E665" s="21">
        <f t="shared" si="3"/>
        <v>386667</v>
      </c>
      <c r="F665" s="21">
        <f t="shared" si="4"/>
        <v>149511368889</v>
      </c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3">
        <f>'Solar Power Plant Data'!A666</f>
        <v>43122.08333</v>
      </c>
      <c r="B666" s="19">
        <f>'Solar Power Plant Data'!H666</f>
        <v>0</v>
      </c>
      <c r="C666" s="19">
        <f t="shared" si="1"/>
        <v>0</v>
      </c>
      <c r="D666" s="19">
        <f t="shared" si="2"/>
        <v>0</v>
      </c>
      <c r="E666" s="21">
        <f t="shared" si="3"/>
        <v>0</v>
      </c>
      <c r="F666" s="21">
        <f t="shared" si="4"/>
        <v>0</v>
      </c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3">
        <f>'Solar Power Plant Data'!A667</f>
        <v>43123.08333</v>
      </c>
      <c r="B667" s="19">
        <f>'Solar Power Plant Data'!H667</f>
        <v>0</v>
      </c>
      <c r="C667" s="19">
        <f t="shared" si="1"/>
        <v>0</v>
      </c>
      <c r="D667" s="19">
        <f t="shared" si="2"/>
        <v>0</v>
      </c>
      <c r="E667" s="21">
        <f t="shared" si="3"/>
        <v>0</v>
      </c>
      <c r="F667" s="21">
        <f t="shared" si="4"/>
        <v>0</v>
      </c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3">
        <f>'Solar Power Plant Data'!A668</f>
        <v>43124.08333</v>
      </c>
      <c r="B668" s="19">
        <f>'Solar Power Plant Data'!H668</f>
        <v>0</v>
      </c>
      <c r="C668" s="19">
        <f t="shared" si="1"/>
        <v>0</v>
      </c>
      <c r="D668" s="19">
        <f t="shared" si="2"/>
        <v>0</v>
      </c>
      <c r="E668" s="21">
        <f t="shared" si="3"/>
        <v>0</v>
      </c>
      <c r="F668" s="21">
        <f t="shared" si="4"/>
        <v>0</v>
      </c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3">
        <f>'Solar Power Plant Data'!A669</f>
        <v>43125.08333</v>
      </c>
      <c r="B669" s="19">
        <f>'Solar Power Plant Data'!H669</f>
        <v>0</v>
      </c>
      <c r="C669" s="19">
        <f t="shared" si="1"/>
        <v>0</v>
      </c>
      <c r="D669" s="19">
        <f t="shared" si="2"/>
        <v>0</v>
      </c>
      <c r="E669" s="21">
        <f t="shared" si="3"/>
        <v>0</v>
      </c>
      <c r="F669" s="21">
        <f t="shared" si="4"/>
        <v>0</v>
      </c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3">
        <f>'Solar Power Plant Data'!A670</f>
        <v>43126.08333</v>
      </c>
      <c r="B670" s="19">
        <f>'Solar Power Plant Data'!H670</f>
        <v>0</v>
      </c>
      <c r="C670" s="19">
        <f t="shared" si="1"/>
        <v>0</v>
      </c>
      <c r="D670" s="19">
        <f t="shared" si="2"/>
        <v>0</v>
      </c>
      <c r="E670" s="21">
        <f t="shared" si="3"/>
        <v>0</v>
      </c>
      <c r="F670" s="21">
        <f t="shared" si="4"/>
        <v>0</v>
      </c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3">
        <f>'Solar Power Plant Data'!A671</f>
        <v>43127.08333</v>
      </c>
      <c r="B671" s="19">
        <f>'Solar Power Plant Data'!H671</f>
        <v>0</v>
      </c>
      <c r="C671" s="19">
        <f t="shared" si="1"/>
        <v>0</v>
      </c>
      <c r="D671" s="19">
        <f t="shared" si="2"/>
        <v>0</v>
      </c>
      <c r="E671" s="21">
        <f t="shared" si="3"/>
        <v>0</v>
      </c>
      <c r="F671" s="21">
        <f t="shared" si="4"/>
        <v>0</v>
      </c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3">
        <f>'Solar Power Plant Data'!A672</f>
        <v>43128.08333</v>
      </c>
      <c r="B672" s="19">
        <f>'Solar Power Plant Data'!H672</f>
        <v>0</v>
      </c>
      <c r="C672" s="19">
        <f t="shared" si="1"/>
        <v>0</v>
      </c>
      <c r="D672" s="19">
        <f t="shared" si="2"/>
        <v>0</v>
      </c>
      <c r="E672" s="21">
        <f t="shared" si="3"/>
        <v>0</v>
      </c>
      <c r="F672" s="21">
        <f t="shared" si="4"/>
        <v>0</v>
      </c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3">
        <f>'Solar Power Plant Data'!A673</f>
        <v>43129.08333</v>
      </c>
      <c r="B673" s="19">
        <f>'Solar Power Plant Data'!H673</f>
        <v>0</v>
      </c>
      <c r="C673" s="19">
        <f t="shared" si="1"/>
        <v>0</v>
      </c>
      <c r="D673" s="19">
        <f t="shared" si="2"/>
        <v>0</v>
      </c>
      <c r="E673" s="21">
        <f t="shared" si="3"/>
        <v>0</v>
      </c>
      <c r="F673" s="21">
        <f t="shared" si="4"/>
        <v>0</v>
      </c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3">
        <f>'Solar Power Plant Data'!A674</f>
        <v>43130.08333</v>
      </c>
      <c r="B674" s="19">
        <f>'Solar Power Plant Data'!H674</f>
        <v>0</v>
      </c>
      <c r="C674" s="19">
        <f t="shared" si="1"/>
        <v>0</v>
      </c>
      <c r="D674" s="19">
        <f t="shared" si="2"/>
        <v>0</v>
      </c>
      <c r="E674" s="21">
        <f t="shared" si="3"/>
        <v>0</v>
      </c>
      <c r="F674" s="21">
        <f t="shared" si="4"/>
        <v>0</v>
      </c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3">
        <f>'Solar Power Plant Data'!A675</f>
        <v>43131.08333</v>
      </c>
      <c r="B675" s="19">
        <f>'Solar Power Plant Data'!H675</f>
        <v>0</v>
      </c>
      <c r="C675" s="19">
        <f t="shared" si="1"/>
        <v>0</v>
      </c>
      <c r="D675" s="19">
        <f t="shared" si="2"/>
        <v>0</v>
      </c>
      <c r="E675" s="21">
        <f t="shared" si="3"/>
        <v>0</v>
      </c>
      <c r="F675" s="21">
        <f t="shared" si="4"/>
        <v>0</v>
      </c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3">
        <f>'Solar Power Plant Data'!A676</f>
        <v>43132.08333</v>
      </c>
      <c r="B676" s="19">
        <f>'Solar Power Plant Data'!H676</f>
        <v>0</v>
      </c>
      <c r="C676" s="19">
        <f t="shared" si="1"/>
        <v>0</v>
      </c>
      <c r="D676" s="19">
        <f t="shared" si="2"/>
        <v>0</v>
      </c>
      <c r="E676" s="21">
        <f t="shared" si="3"/>
        <v>0</v>
      </c>
      <c r="F676" s="21">
        <f t="shared" si="4"/>
        <v>0</v>
      </c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3">
        <f>'Solar Power Plant Data'!A677</f>
        <v>43133.08333</v>
      </c>
      <c r="B677" s="19">
        <f>'Solar Power Plant Data'!H677</f>
        <v>0</v>
      </c>
      <c r="C677" s="19">
        <f t="shared" si="1"/>
        <v>0</v>
      </c>
      <c r="D677" s="19">
        <f t="shared" si="2"/>
        <v>0</v>
      </c>
      <c r="E677" s="21">
        <f t="shared" si="3"/>
        <v>0</v>
      </c>
      <c r="F677" s="21">
        <f t="shared" si="4"/>
        <v>0</v>
      </c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3">
        <f>'Solar Power Plant Data'!A678</f>
        <v>43134.08333</v>
      </c>
      <c r="B678" s="19">
        <f>'Solar Power Plant Data'!H678</f>
        <v>0</v>
      </c>
      <c r="C678" s="19">
        <f t="shared" si="1"/>
        <v>0</v>
      </c>
      <c r="D678" s="19">
        <f t="shared" si="2"/>
        <v>0</v>
      </c>
      <c r="E678" s="21">
        <f t="shared" si="3"/>
        <v>0</v>
      </c>
      <c r="F678" s="21">
        <f t="shared" si="4"/>
        <v>0</v>
      </c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3">
        <f>'Solar Power Plant Data'!A679</f>
        <v>43135.08333</v>
      </c>
      <c r="B679" s="19">
        <f>'Solar Power Plant Data'!H679</f>
        <v>0</v>
      </c>
      <c r="C679" s="19">
        <f t="shared" si="1"/>
        <v>0</v>
      </c>
      <c r="D679" s="19">
        <f t="shared" si="2"/>
        <v>0</v>
      </c>
      <c r="E679" s="21">
        <f t="shared" si="3"/>
        <v>0</v>
      </c>
      <c r="F679" s="21">
        <f t="shared" si="4"/>
        <v>0</v>
      </c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3">
        <f>'Solar Power Plant Data'!A680</f>
        <v>43136.08333</v>
      </c>
      <c r="B680" s="19">
        <f>'Solar Power Plant Data'!H680</f>
        <v>0</v>
      </c>
      <c r="C680" s="19">
        <f t="shared" si="1"/>
        <v>0</v>
      </c>
      <c r="D680" s="19">
        <f t="shared" si="2"/>
        <v>0</v>
      </c>
      <c r="E680" s="21">
        <f t="shared" si="3"/>
        <v>0</v>
      </c>
      <c r="F680" s="21">
        <f t="shared" si="4"/>
        <v>0</v>
      </c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3">
        <f>'Solar Power Plant Data'!A681</f>
        <v>43137.08333</v>
      </c>
      <c r="B681" s="19">
        <f>'Solar Power Plant Data'!H681</f>
        <v>0</v>
      </c>
      <c r="C681" s="19">
        <f t="shared" si="1"/>
        <v>0</v>
      </c>
      <c r="D681" s="19">
        <f t="shared" si="2"/>
        <v>0</v>
      </c>
      <c r="E681" s="21">
        <f t="shared" si="3"/>
        <v>0</v>
      </c>
      <c r="F681" s="21">
        <f t="shared" si="4"/>
        <v>0</v>
      </c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3">
        <f>'Solar Power Plant Data'!A682</f>
        <v>43138.08333</v>
      </c>
      <c r="B682" s="19">
        <f>'Solar Power Plant Data'!H682</f>
        <v>0</v>
      </c>
      <c r="C682" s="19">
        <f t="shared" si="1"/>
        <v>0</v>
      </c>
      <c r="D682" s="19">
        <f t="shared" si="2"/>
        <v>0</v>
      </c>
      <c r="E682" s="21">
        <f t="shared" si="3"/>
        <v>0</v>
      </c>
      <c r="F682" s="21">
        <f t="shared" si="4"/>
        <v>0</v>
      </c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3">
        <f>'Solar Power Plant Data'!A683</f>
        <v>43139.08333</v>
      </c>
      <c r="B683" s="19">
        <f>'Solar Power Plant Data'!H683</f>
        <v>0</v>
      </c>
      <c r="C683" s="19">
        <f t="shared" si="1"/>
        <v>0</v>
      </c>
      <c r="D683" s="19">
        <f t="shared" si="2"/>
        <v>0</v>
      </c>
      <c r="E683" s="21">
        <f t="shared" si="3"/>
        <v>0</v>
      </c>
      <c r="F683" s="21">
        <f t="shared" si="4"/>
        <v>0</v>
      </c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3">
        <f>'Solar Power Plant Data'!A684</f>
        <v>43140.08333</v>
      </c>
      <c r="B684" s="19">
        <f>'Solar Power Plant Data'!H684</f>
        <v>0</v>
      </c>
      <c r="C684" s="19">
        <f t="shared" si="1"/>
        <v>0</v>
      </c>
      <c r="D684" s="19">
        <f t="shared" si="2"/>
        <v>0</v>
      </c>
      <c r="E684" s="21">
        <f t="shared" si="3"/>
        <v>0</v>
      </c>
      <c r="F684" s="21">
        <f t="shared" si="4"/>
        <v>0</v>
      </c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3">
        <f>'Solar Power Plant Data'!A685</f>
        <v>43141.08333</v>
      </c>
      <c r="B685" s="19">
        <f>'Solar Power Plant Data'!H685</f>
        <v>0</v>
      </c>
      <c r="C685" s="19">
        <f t="shared" si="1"/>
        <v>2143333</v>
      </c>
      <c r="D685" s="19">
        <f t="shared" si="2"/>
        <v>-2143333</v>
      </c>
      <c r="E685" s="21">
        <f t="shared" si="3"/>
        <v>2143333</v>
      </c>
      <c r="F685" s="21">
        <f t="shared" si="4"/>
        <v>4593876348889</v>
      </c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3">
        <f>'Solar Power Plant Data'!A686</f>
        <v>43142.08333</v>
      </c>
      <c r="B686" s="19">
        <f>'Solar Power Plant Data'!H686</f>
        <v>0</v>
      </c>
      <c r="C686" s="19">
        <f t="shared" si="1"/>
        <v>387</v>
      </c>
      <c r="D686" s="19">
        <f t="shared" si="2"/>
        <v>-387</v>
      </c>
      <c r="E686" s="21">
        <f t="shared" si="3"/>
        <v>387</v>
      </c>
      <c r="F686" s="21">
        <f t="shared" si="4"/>
        <v>149769</v>
      </c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3">
        <f>'Solar Power Plant Data'!A687</f>
        <v>43143.08333</v>
      </c>
      <c r="B687" s="19">
        <f>'Solar Power Plant Data'!H687</f>
        <v>0</v>
      </c>
      <c r="C687" s="19">
        <f t="shared" si="1"/>
        <v>2235001</v>
      </c>
      <c r="D687" s="19">
        <f t="shared" si="2"/>
        <v>-2235001</v>
      </c>
      <c r="E687" s="21">
        <f t="shared" si="3"/>
        <v>2235001</v>
      </c>
      <c r="F687" s="21">
        <f t="shared" si="4"/>
        <v>4995229470001</v>
      </c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3">
        <f>'Solar Power Plant Data'!A688</f>
        <v>43144.08333</v>
      </c>
      <c r="B688" s="19">
        <f>'Solar Power Plant Data'!H688</f>
        <v>0</v>
      </c>
      <c r="C688" s="19">
        <f t="shared" si="1"/>
        <v>145</v>
      </c>
      <c r="D688" s="19">
        <f t="shared" si="2"/>
        <v>-145</v>
      </c>
      <c r="E688" s="21">
        <f t="shared" si="3"/>
        <v>145</v>
      </c>
      <c r="F688" s="21">
        <f t="shared" si="4"/>
        <v>21025</v>
      </c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3">
        <f>'Solar Power Plant Data'!A689</f>
        <v>43145.08333</v>
      </c>
      <c r="B689" s="19">
        <f>'Solar Power Plant Data'!H689</f>
        <v>0</v>
      </c>
      <c r="C689" s="19">
        <f t="shared" si="1"/>
        <v>386667</v>
      </c>
      <c r="D689" s="19">
        <f t="shared" si="2"/>
        <v>-386667</v>
      </c>
      <c r="E689" s="21">
        <f t="shared" si="3"/>
        <v>386667</v>
      </c>
      <c r="F689" s="21">
        <f t="shared" si="4"/>
        <v>149511368889</v>
      </c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3">
        <f>'Solar Power Plant Data'!A690</f>
        <v>43146.08333</v>
      </c>
      <c r="B690" s="19">
        <f>'Solar Power Plant Data'!H690</f>
        <v>0</v>
      </c>
      <c r="C690" s="19">
        <f t="shared" si="1"/>
        <v>0</v>
      </c>
      <c r="D690" s="19">
        <f t="shared" si="2"/>
        <v>0</v>
      </c>
      <c r="E690" s="21">
        <f t="shared" si="3"/>
        <v>0</v>
      </c>
      <c r="F690" s="21">
        <f t="shared" si="4"/>
        <v>0</v>
      </c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3">
        <f>'Solar Power Plant Data'!A691</f>
        <v>43147.08333</v>
      </c>
      <c r="B691" s="19">
        <f>'Solar Power Plant Data'!H691</f>
        <v>0</v>
      </c>
      <c r="C691" s="19">
        <f t="shared" si="1"/>
        <v>0</v>
      </c>
      <c r="D691" s="19">
        <f t="shared" si="2"/>
        <v>0</v>
      </c>
      <c r="E691" s="21">
        <f t="shared" si="3"/>
        <v>0</v>
      </c>
      <c r="F691" s="21">
        <f t="shared" si="4"/>
        <v>0</v>
      </c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3">
        <f>'Solar Power Plant Data'!A692</f>
        <v>43148.08333</v>
      </c>
      <c r="B692" s="19">
        <f>'Solar Power Plant Data'!H692</f>
        <v>0</v>
      </c>
      <c r="C692" s="19">
        <f t="shared" si="1"/>
        <v>0</v>
      </c>
      <c r="D692" s="19">
        <f t="shared" si="2"/>
        <v>0</v>
      </c>
      <c r="E692" s="21">
        <f t="shared" si="3"/>
        <v>0</v>
      </c>
      <c r="F692" s="21">
        <f t="shared" si="4"/>
        <v>0</v>
      </c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3">
        <f>'Solar Power Plant Data'!A693</f>
        <v>43149.08333</v>
      </c>
      <c r="B693" s="19">
        <f>'Solar Power Plant Data'!H693</f>
        <v>0</v>
      </c>
      <c r="C693" s="19">
        <f t="shared" si="1"/>
        <v>0</v>
      </c>
      <c r="D693" s="19">
        <f t="shared" si="2"/>
        <v>0</v>
      </c>
      <c r="E693" s="21">
        <f t="shared" si="3"/>
        <v>0</v>
      </c>
      <c r="F693" s="21">
        <f t="shared" si="4"/>
        <v>0</v>
      </c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3">
        <f>'Solar Power Plant Data'!A694</f>
        <v>43150.08333</v>
      </c>
      <c r="B694" s="19">
        <f>'Solar Power Plant Data'!H694</f>
        <v>0</v>
      </c>
      <c r="C694" s="19">
        <f t="shared" si="1"/>
        <v>0</v>
      </c>
      <c r="D694" s="19">
        <f t="shared" si="2"/>
        <v>0</v>
      </c>
      <c r="E694" s="21">
        <f t="shared" si="3"/>
        <v>0</v>
      </c>
      <c r="F694" s="21">
        <f t="shared" si="4"/>
        <v>0</v>
      </c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3">
        <f>'Solar Power Plant Data'!A695</f>
        <v>43151.08333</v>
      </c>
      <c r="B695" s="19">
        <f>'Solar Power Plant Data'!H695</f>
        <v>0</v>
      </c>
      <c r="C695" s="19">
        <f t="shared" si="1"/>
        <v>0</v>
      </c>
      <c r="D695" s="19">
        <f t="shared" si="2"/>
        <v>0</v>
      </c>
      <c r="E695" s="21">
        <f t="shared" si="3"/>
        <v>0</v>
      </c>
      <c r="F695" s="21">
        <f t="shared" si="4"/>
        <v>0</v>
      </c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3">
        <f>'Solar Power Plant Data'!A696</f>
        <v>43152.08333</v>
      </c>
      <c r="B696" s="19">
        <f>'Solar Power Plant Data'!H696</f>
        <v>0</v>
      </c>
      <c r="C696" s="19">
        <f t="shared" si="1"/>
        <v>0</v>
      </c>
      <c r="D696" s="19">
        <f t="shared" si="2"/>
        <v>0</v>
      </c>
      <c r="E696" s="21">
        <f t="shared" si="3"/>
        <v>0</v>
      </c>
      <c r="F696" s="21">
        <f t="shared" si="4"/>
        <v>0</v>
      </c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3">
        <f>'Solar Power Plant Data'!A697</f>
        <v>43153.08333</v>
      </c>
      <c r="B697" s="19">
        <f>'Solar Power Plant Data'!H697</f>
        <v>0</v>
      </c>
      <c r="C697" s="19">
        <f t="shared" si="1"/>
        <v>0</v>
      </c>
      <c r="D697" s="19">
        <f t="shared" si="2"/>
        <v>0</v>
      </c>
      <c r="E697" s="21">
        <f t="shared" si="3"/>
        <v>0</v>
      </c>
      <c r="F697" s="21">
        <f t="shared" si="4"/>
        <v>0</v>
      </c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3">
        <f>'Solar Power Plant Data'!A698</f>
        <v>43154.08333</v>
      </c>
      <c r="B698" s="19">
        <f>'Solar Power Plant Data'!H698</f>
        <v>0</v>
      </c>
      <c r="C698" s="19">
        <f t="shared" si="1"/>
        <v>0</v>
      </c>
      <c r="D698" s="19">
        <f t="shared" si="2"/>
        <v>0</v>
      </c>
      <c r="E698" s="21">
        <f t="shared" si="3"/>
        <v>0</v>
      </c>
      <c r="F698" s="21">
        <f t="shared" si="4"/>
        <v>0</v>
      </c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3">
        <f>'Solar Power Plant Data'!A699</f>
        <v>43155.08333</v>
      </c>
      <c r="B699" s="19">
        <f>'Solar Power Plant Data'!H699</f>
        <v>0</v>
      </c>
      <c r="C699" s="19">
        <f t="shared" si="1"/>
        <v>0</v>
      </c>
      <c r="D699" s="19">
        <f t="shared" si="2"/>
        <v>0</v>
      </c>
      <c r="E699" s="21">
        <f t="shared" si="3"/>
        <v>0</v>
      </c>
      <c r="F699" s="21">
        <f t="shared" si="4"/>
        <v>0</v>
      </c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3">
        <f>'Solar Power Plant Data'!A700</f>
        <v>43156.08333</v>
      </c>
      <c r="B700" s="19">
        <f>'Solar Power Plant Data'!H700</f>
        <v>0</v>
      </c>
      <c r="C700" s="19">
        <f t="shared" si="1"/>
        <v>0</v>
      </c>
      <c r="D700" s="19">
        <f t="shared" si="2"/>
        <v>0</v>
      </c>
      <c r="E700" s="21">
        <f t="shared" si="3"/>
        <v>0</v>
      </c>
      <c r="F700" s="21">
        <f t="shared" si="4"/>
        <v>0</v>
      </c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3">
        <f>'Solar Power Plant Data'!A701</f>
        <v>43157.08333</v>
      </c>
      <c r="B701" s="19">
        <f>'Solar Power Plant Data'!H701</f>
        <v>0</v>
      </c>
      <c r="C701" s="19">
        <f t="shared" si="1"/>
        <v>0</v>
      </c>
      <c r="D701" s="19">
        <f t="shared" si="2"/>
        <v>0</v>
      </c>
      <c r="E701" s="21">
        <f t="shared" si="3"/>
        <v>0</v>
      </c>
      <c r="F701" s="21">
        <f t="shared" si="4"/>
        <v>0</v>
      </c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3">
        <f>'Solar Power Plant Data'!A702</f>
        <v>43158.08333</v>
      </c>
      <c r="B702" s="19">
        <f>'Solar Power Plant Data'!H702</f>
        <v>0</v>
      </c>
      <c r="C702" s="19">
        <f t="shared" si="1"/>
        <v>0</v>
      </c>
      <c r="D702" s="19">
        <f t="shared" si="2"/>
        <v>0</v>
      </c>
      <c r="E702" s="21">
        <f t="shared" si="3"/>
        <v>0</v>
      </c>
      <c r="F702" s="21">
        <f t="shared" si="4"/>
        <v>0</v>
      </c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3">
        <f>'Solar Power Plant Data'!A703</f>
        <v>43159.08333</v>
      </c>
      <c r="B703" s="19">
        <f>'Solar Power Plant Data'!H703</f>
        <v>0</v>
      </c>
      <c r="C703" s="19">
        <f t="shared" si="1"/>
        <v>0</v>
      </c>
      <c r="D703" s="19">
        <f t="shared" si="2"/>
        <v>0</v>
      </c>
      <c r="E703" s="21">
        <f t="shared" si="3"/>
        <v>0</v>
      </c>
      <c r="F703" s="21">
        <f t="shared" si="4"/>
        <v>0</v>
      </c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3">
        <f>'Solar Power Plant Data'!A704</f>
        <v>43160.08333</v>
      </c>
      <c r="B704" s="19">
        <f>'Solar Power Plant Data'!H704</f>
        <v>0</v>
      </c>
      <c r="C704" s="19">
        <f t="shared" si="1"/>
        <v>0</v>
      </c>
      <c r="D704" s="19">
        <f t="shared" si="2"/>
        <v>0</v>
      </c>
      <c r="E704" s="21">
        <f t="shared" si="3"/>
        <v>0</v>
      </c>
      <c r="F704" s="21">
        <f t="shared" si="4"/>
        <v>0</v>
      </c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3">
        <f>'Solar Power Plant Data'!A705</f>
        <v>43161.08333</v>
      </c>
      <c r="B705" s="19">
        <f>'Solar Power Plant Data'!H705</f>
        <v>0</v>
      </c>
      <c r="C705" s="19">
        <f t="shared" si="1"/>
        <v>0</v>
      </c>
      <c r="D705" s="19">
        <f t="shared" si="2"/>
        <v>0</v>
      </c>
      <c r="E705" s="21">
        <f t="shared" si="3"/>
        <v>0</v>
      </c>
      <c r="F705" s="21">
        <f t="shared" si="4"/>
        <v>0</v>
      </c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3">
        <f>'Solar Power Plant Data'!A706</f>
        <v>43162.08333</v>
      </c>
      <c r="B706" s="19">
        <f>'Solar Power Plant Data'!H706</f>
        <v>0</v>
      </c>
      <c r="C706" s="19">
        <f t="shared" si="1"/>
        <v>0</v>
      </c>
      <c r="D706" s="19">
        <f t="shared" si="2"/>
        <v>0</v>
      </c>
      <c r="E706" s="21">
        <f t="shared" si="3"/>
        <v>0</v>
      </c>
      <c r="F706" s="21">
        <f t="shared" si="4"/>
        <v>0</v>
      </c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3">
        <f>'Solar Power Plant Data'!A707</f>
        <v>43163.08333</v>
      </c>
      <c r="B707" s="19">
        <f>'Solar Power Plant Data'!H707</f>
        <v>0</v>
      </c>
      <c r="C707" s="19">
        <f t="shared" si="1"/>
        <v>0</v>
      </c>
      <c r="D707" s="19">
        <f t="shared" si="2"/>
        <v>0</v>
      </c>
      <c r="E707" s="21">
        <f t="shared" si="3"/>
        <v>0</v>
      </c>
      <c r="F707" s="21">
        <f t="shared" si="4"/>
        <v>0</v>
      </c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3">
        <f>'Solar Power Plant Data'!A708</f>
        <v>43164.08333</v>
      </c>
      <c r="B708" s="19">
        <f>'Solar Power Plant Data'!H708</f>
        <v>0</v>
      </c>
      <c r="C708" s="19">
        <f t="shared" si="1"/>
        <v>0</v>
      </c>
      <c r="D708" s="19">
        <f t="shared" si="2"/>
        <v>0</v>
      </c>
      <c r="E708" s="21">
        <f t="shared" si="3"/>
        <v>0</v>
      </c>
      <c r="F708" s="21">
        <f t="shared" si="4"/>
        <v>0</v>
      </c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3">
        <f>'Solar Power Plant Data'!A709</f>
        <v>43165.08333</v>
      </c>
      <c r="B709" s="19">
        <f>'Solar Power Plant Data'!H709</f>
        <v>1161667</v>
      </c>
      <c r="C709" s="19">
        <f t="shared" si="1"/>
        <v>0</v>
      </c>
      <c r="D709" s="19">
        <f t="shared" si="2"/>
        <v>1161667</v>
      </c>
      <c r="E709" s="21">
        <f t="shared" si="3"/>
        <v>1161667</v>
      </c>
      <c r="F709" s="21">
        <f t="shared" si="4"/>
        <v>1349470218889</v>
      </c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3">
        <f>'Solar Power Plant Data'!A710</f>
        <v>43166.08333</v>
      </c>
      <c r="B710" s="19">
        <f>'Solar Power Plant Data'!H710</f>
        <v>342</v>
      </c>
      <c r="C710" s="19">
        <f t="shared" si="1"/>
        <v>0</v>
      </c>
      <c r="D710" s="19">
        <f t="shared" si="2"/>
        <v>342</v>
      </c>
      <c r="E710" s="21">
        <f t="shared" si="3"/>
        <v>342</v>
      </c>
      <c r="F710" s="21">
        <f t="shared" si="4"/>
        <v>116964</v>
      </c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3">
        <f>'Solar Power Plant Data'!A711</f>
        <v>43167.08333</v>
      </c>
      <c r="B711" s="19">
        <f>'Solar Power Plant Data'!H711</f>
        <v>320</v>
      </c>
      <c r="C711" s="19">
        <f t="shared" si="1"/>
        <v>0</v>
      </c>
      <c r="D711" s="19">
        <f t="shared" si="2"/>
        <v>320</v>
      </c>
      <c r="E711" s="21">
        <f t="shared" si="3"/>
        <v>320</v>
      </c>
      <c r="F711" s="21">
        <f t="shared" si="4"/>
        <v>102400</v>
      </c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3">
        <f>'Solar Power Plant Data'!A712</f>
        <v>43168.08333</v>
      </c>
      <c r="B712" s="19">
        <f>'Solar Power Plant Data'!H712</f>
        <v>198</v>
      </c>
      <c r="C712" s="19">
        <f t="shared" si="1"/>
        <v>0</v>
      </c>
      <c r="D712" s="19">
        <f t="shared" si="2"/>
        <v>198</v>
      </c>
      <c r="E712" s="21">
        <f t="shared" si="3"/>
        <v>198</v>
      </c>
      <c r="F712" s="21">
        <f t="shared" si="4"/>
        <v>39204</v>
      </c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3">
        <f>'Solar Power Plant Data'!A713</f>
        <v>43169.08333</v>
      </c>
      <c r="B713" s="19">
        <f>'Solar Power Plant Data'!H713</f>
        <v>816666</v>
      </c>
      <c r="C713" s="19">
        <f t="shared" si="1"/>
        <v>0</v>
      </c>
      <c r="D713" s="19">
        <f t="shared" si="2"/>
        <v>816666</v>
      </c>
      <c r="E713" s="21">
        <f t="shared" si="3"/>
        <v>816666</v>
      </c>
      <c r="F713" s="21">
        <f t="shared" si="4"/>
        <v>666943355556</v>
      </c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3">
        <f>'Solar Power Plant Data'!A714</f>
        <v>43170.08333</v>
      </c>
      <c r="B714" s="19">
        <f>'Solar Power Plant Data'!H714</f>
        <v>111667</v>
      </c>
      <c r="C714" s="19">
        <f t="shared" si="1"/>
        <v>0</v>
      </c>
      <c r="D714" s="19">
        <f t="shared" si="2"/>
        <v>111667</v>
      </c>
      <c r="E714" s="21">
        <f t="shared" si="3"/>
        <v>111667</v>
      </c>
      <c r="F714" s="21">
        <f t="shared" si="4"/>
        <v>12469518889</v>
      </c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3">
        <f>'Solar Power Plant Data'!A715</f>
        <v>43171.08333</v>
      </c>
      <c r="B715" s="19">
        <f>'Solar Power Plant Data'!H715</f>
        <v>0</v>
      </c>
      <c r="C715" s="19">
        <f t="shared" si="1"/>
        <v>0</v>
      </c>
      <c r="D715" s="19">
        <f t="shared" si="2"/>
        <v>0</v>
      </c>
      <c r="E715" s="21">
        <f t="shared" si="3"/>
        <v>0</v>
      </c>
      <c r="F715" s="21">
        <f t="shared" si="4"/>
        <v>0</v>
      </c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3">
        <f>'Solar Power Plant Data'!A716</f>
        <v>43172.08333</v>
      </c>
      <c r="B716" s="19">
        <f>'Solar Power Plant Data'!H716</f>
        <v>0</v>
      </c>
      <c r="C716" s="19">
        <f t="shared" si="1"/>
        <v>0</v>
      </c>
      <c r="D716" s="19">
        <f t="shared" si="2"/>
        <v>0</v>
      </c>
      <c r="E716" s="21">
        <f t="shared" si="3"/>
        <v>0</v>
      </c>
      <c r="F716" s="21">
        <f t="shared" si="4"/>
        <v>0</v>
      </c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3">
        <f>'Solar Power Plant Data'!A717</f>
        <v>43173.08333</v>
      </c>
      <c r="B717" s="19">
        <f>'Solar Power Plant Data'!H717</f>
        <v>0</v>
      </c>
      <c r="C717" s="19">
        <f t="shared" si="1"/>
        <v>0</v>
      </c>
      <c r="D717" s="19">
        <f t="shared" si="2"/>
        <v>0</v>
      </c>
      <c r="E717" s="21">
        <f t="shared" si="3"/>
        <v>0</v>
      </c>
      <c r="F717" s="21">
        <f t="shared" si="4"/>
        <v>0</v>
      </c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3">
        <f>'Solar Power Plant Data'!A718</f>
        <v>43174.08333</v>
      </c>
      <c r="B718" s="19">
        <f>'Solar Power Plant Data'!H718</f>
        <v>0</v>
      </c>
      <c r="C718" s="19">
        <f t="shared" si="1"/>
        <v>0</v>
      </c>
      <c r="D718" s="19">
        <f t="shared" si="2"/>
        <v>0</v>
      </c>
      <c r="E718" s="21">
        <f t="shared" si="3"/>
        <v>0</v>
      </c>
      <c r="F718" s="21">
        <f t="shared" si="4"/>
        <v>0</v>
      </c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3">
        <f>'Solar Power Plant Data'!A719</f>
        <v>43175.08333</v>
      </c>
      <c r="B719" s="19">
        <f>'Solar Power Plant Data'!H719</f>
        <v>0</v>
      </c>
      <c r="C719" s="19">
        <f t="shared" si="1"/>
        <v>0</v>
      </c>
      <c r="D719" s="19">
        <f t="shared" si="2"/>
        <v>0</v>
      </c>
      <c r="E719" s="21">
        <f t="shared" si="3"/>
        <v>0</v>
      </c>
      <c r="F719" s="21">
        <f t="shared" si="4"/>
        <v>0</v>
      </c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3">
        <f>'Solar Power Plant Data'!A720</f>
        <v>43176.08333</v>
      </c>
      <c r="B720" s="19">
        <f>'Solar Power Plant Data'!H720</f>
        <v>0</v>
      </c>
      <c r="C720" s="19">
        <f t="shared" si="1"/>
        <v>0</v>
      </c>
      <c r="D720" s="19">
        <f t="shared" si="2"/>
        <v>0</v>
      </c>
      <c r="E720" s="21">
        <f t="shared" si="3"/>
        <v>0</v>
      </c>
      <c r="F720" s="21">
        <f t="shared" si="4"/>
        <v>0</v>
      </c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3">
        <f>'Solar Power Plant Data'!A721</f>
        <v>43177.08333</v>
      </c>
      <c r="B721" s="19">
        <f>'Solar Power Plant Data'!H721</f>
        <v>0</v>
      </c>
      <c r="C721" s="19">
        <f t="shared" si="1"/>
        <v>0</v>
      </c>
      <c r="D721" s="19">
        <f t="shared" si="2"/>
        <v>0</v>
      </c>
      <c r="E721" s="21">
        <f t="shared" si="3"/>
        <v>0</v>
      </c>
      <c r="F721" s="21">
        <f t="shared" si="4"/>
        <v>0</v>
      </c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3">
        <f>'Solar Power Plant Data'!A722</f>
        <v>43178.08333</v>
      </c>
      <c r="B722" s="19">
        <f>'Solar Power Plant Data'!H722</f>
        <v>0</v>
      </c>
      <c r="C722" s="19">
        <f t="shared" si="1"/>
        <v>0</v>
      </c>
      <c r="D722" s="19">
        <f t="shared" si="2"/>
        <v>0</v>
      </c>
      <c r="E722" s="21">
        <f t="shared" si="3"/>
        <v>0</v>
      </c>
      <c r="F722" s="21">
        <f t="shared" si="4"/>
        <v>0</v>
      </c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3">
        <f>'Solar Power Plant Data'!A723</f>
        <v>43179.08333</v>
      </c>
      <c r="B723" s="19">
        <f>'Solar Power Plant Data'!H723</f>
        <v>0</v>
      </c>
      <c r="C723" s="19">
        <f t="shared" si="1"/>
        <v>0</v>
      </c>
      <c r="D723" s="19">
        <f t="shared" si="2"/>
        <v>0</v>
      </c>
      <c r="E723" s="21">
        <f t="shared" si="3"/>
        <v>0</v>
      </c>
      <c r="F723" s="21">
        <f t="shared" si="4"/>
        <v>0</v>
      </c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3">
        <f>'Solar Power Plant Data'!A724</f>
        <v>43180.08333</v>
      </c>
      <c r="B724" s="19">
        <f>'Solar Power Plant Data'!H724</f>
        <v>0</v>
      </c>
      <c r="C724" s="19">
        <f t="shared" si="1"/>
        <v>0</v>
      </c>
      <c r="D724" s="19">
        <f t="shared" si="2"/>
        <v>0</v>
      </c>
      <c r="E724" s="21">
        <f t="shared" si="3"/>
        <v>0</v>
      </c>
      <c r="F724" s="21">
        <f t="shared" si="4"/>
        <v>0</v>
      </c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3">
        <f>'Solar Power Plant Data'!A725</f>
        <v>43181.08333</v>
      </c>
      <c r="B725" s="19">
        <f>'Solar Power Plant Data'!H725</f>
        <v>0</v>
      </c>
      <c r="C725" s="19">
        <f t="shared" si="1"/>
        <v>0</v>
      </c>
      <c r="D725" s="19">
        <f t="shared" si="2"/>
        <v>0</v>
      </c>
      <c r="E725" s="21">
        <f t="shared" si="3"/>
        <v>0</v>
      </c>
      <c r="F725" s="21">
        <f t="shared" si="4"/>
        <v>0</v>
      </c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3">
        <f>'Solar Power Plant Data'!A726</f>
        <v>43182.08333</v>
      </c>
      <c r="B726" s="19">
        <f>'Solar Power Plant Data'!H726</f>
        <v>0</v>
      </c>
      <c r="C726" s="19">
        <f t="shared" si="1"/>
        <v>0</v>
      </c>
      <c r="D726" s="19">
        <f t="shared" si="2"/>
        <v>0</v>
      </c>
      <c r="E726" s="21">
        <f t="shared" si="3"/>
        <v>0</v>
      </c>
      <c r="F726" s="21">
        <f t="shared" si="4"/>
        <v>0</v>
      </c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3">
        <f>'Solar Power Plant Data'!A727</f>
        <v>43183.08333</v>
      </c>
      <c r="B727" s="19">
        <f>'Solar Power Plant Data'!H727</f>
        <v>0</v>
      </c>
      <c r="C727" s="19">
        <f t="shared" si="1"/>
        <v>0</v>
      </c>
      <c r="D727" s="19">
        <f t="shared" si="2"/>
        <v>0</v>
      </c>
      <c r="E727" s="21">
        <f t="shared" si="3"/>
        <v>0</v>
      </c>
      <c r="F727" s="21">
        <f t="shared" si="4"/>
        <v>0</v>
      </c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3">
        <f>'Solar Power Plant Data'!A728</f>
        <v>43184.08333</v>
      </c>
      <c r="B728" s="19">
        <f>'Solar Power Plant Data'!H728</f>
        <v>0</v>
      </c>
      <c r="C728" s="19">
        <f t="shared" si="1"/>
        <v>0</v>
      </c>
      <c r="D728" s="19">
        <f t="shared" si="2"/>
        <v>0</v>
      </c>
      <c r="E728" s="21">
        <f t="shared" si="3"/>
        <v>0</v>
      </c>
      <c r="F728" s="21">
        <f t="shared" si="4"/>
        <v>0</v>
      </c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3">
        <f>'Solar Power Plant Data'!A729</f>
        <v>43185.08333</v>
      </c>
      <c r="B729" s="19">
        <f>'Solar Power Plant Data'!H729</f>
        <v>0</v>
      </c>
      <c r="C729" s="19">
        <f t="shared" si="1"/>
        <v>0</v>
      </c>
      <c r="D729" s="19">
        <f t="shared" si="2"/>
        <v>0</v>
      </c>
      <c r="E729" s="21">
        <f t="shared" si="3"/>
        <v>0</v>
      </c>
      <c r="F729" s="21">
        <f t="shared" si="4"/>
        <v>0</v>
      </c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3">
        <f>'Solar Power Plant Data'!A730</f>
        <v>43186.08333</v>
      </c>
      <c r="B730" s="19">
        <f>'Solar Power Plant Data'!H730</f>
        <v>0</v>
      </c>
      <c r="C730" s="19">
        <f t="shared" si="1"/>
        <v>0</v>
      </c>
      <c r="D730" s="19">
        <f t="shared" si="2"/>
        <v>0</v>
      </c>
      <c r="E730" s="21">
        <f t="shared" si="3"/>
        <v>0</v>
      </c>
      <c r="F730" s="21">
        <f t="shared" si="4"/>
        <v>0</v>
      </c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3">
        <f>'Solar Power Plant Data'!A731</f>
        <v>43187.08333</v>
      </c>
      <c r="B731" s="19">
        <f>'Solar Power Plant Data'!H731</f>
        <v>0</v>
      </c>
      <c r="C731" s="19">
        <f t="shared" si="1"/>
        <v>0</v>
      </c>
      <c r="D731" s="19">
        <f t="shared" si="2"/>
        <v>0</v>
      </c>
      <c r="E731" s="21">
        <f t="shared" si="3"/>
        <v>0</v>
      </c>
      <c r="F731" s="21">
        <f t="shared" si="4"/>
        <v>0</v>
      </c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3">
        <f>'Solar Power Plant Data'!A732</f>
        <v>43188.08333</v>
      </c>
      <c r="B732" s="19">
        <f>'Solar Power Plant Data'!H732</f>
        <v>0</v>
      </c>
      <c r="C732" s="19">
        <f t="shared" si="1"/>
        <v>0</v>
      </c>
      <c r="D732" s="19">
        <f t="shared" si="2"/>
        <v>0</v>
      </c>
      <c r="E732" s="21">
        <f t="shared" si="3"/>
        <v>0</v>
      </c>
      <c r="F732" s="21">
        <f t="shared" si="4"/>
        <v>0</v>
      </c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3">
        <f>'Solar Power Plant Data'!A733</f>
        <v>43189.08333</v>
      </c>
      <c r="B733" s="19">
        <f>'Solar Power Plant Data'!H733</f>
        <v>463333</v>
      </c>
      <c r="C733" s="19">
        <f t="shared" si="1"/>
        <v>1161667</v>
      </c>
      <c r="D733" s="19">
        <f t="shared" si="2"/>
        <v>-698334</v>
      </c>
      <c r="E733" s="21">
        <f t="shared" si="3"/>
        <v>698334</v>
      </c>
      <c r="F733" s="21">
        <f t="shared" si="4"/>
        <v>487670375556</v>
      </c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3">
        <f>'Solar Power Plant Data'!A734</f>
        <v>43190.08333</v>
      </c>
      <c r="B734" s="19">
        <f>'Solar Power Plant Data'!H734</f>
        <v>3361666</v>
      </c>
      <c r="C734" s="19">
        <f t="shared" si="1"/>
        <v>342</v>
      </c>
      <c r="D734" s="19">
        <f t="shared" si="2"/>
        <v>3361324</v>
      </c>
      <c r="E734" s="21">
        <f t="shared" si="3"/>
        <v>3361324</v>
      </c>
      <c r="F734" s="21">
        <f t="shared" si="4"/>
        <v>11298499032976</v>
      </c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3">
        <f>'Solar Power Plant Data'!A735</f>
        <v>43191.08333</v>
      </c>
      <c r="B735" s="19">
        <f>'Solar Power Plant Data'!H735</f>
        <v>5213332</v>
      </c>
      <c r="C735" s="19">
        <f t="shared" si="1"/>
        <v>320</v>
      </c>
      <c r="D735" s="19">
        <f t="shared" si="2"/>
        <v>5213012</v>
      </c>
      <c r="E735" s="21">
        <f t="shared" si="3"/>
        <v>5213012</v>
      </c>
      <c r="F735" s="21">
        <f t="shared" si="4"/>
        <v>27175494112144</v>
      </c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3">
        <f>'Solar Power Plant Data'!A736</f>
        <v>43192.08333</v>
      </c>
      <c r="B736" s="19">
        <f>'Solar Power Plant Data'!H736</f>
        <v>4286667</v>
      </c>
      <c r="C736" s="19">
        <f t="shared" si="1"/>
        <v>198</v>
      </c>
      <c r="D736" s="19">
        <f t="shared" si="2"/>
        <v>4286469</v>
      </c>
      <c r="E736" s="21">
        <f t="shared" si="3"/>
        <v>4286469</v>
      </c>
      <c r="F736" s="21">
        <f t="shared" si="4"/>
        <v>18373816487961</v>
      </c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3">
        <f>'Solar Power Plant Data'!A737</f>
        <v>43193.08333</v>
      </c>
      <c r="B737" s="19">
        <f>'Solar Power Plant Data'!H737</f>
        <v>2796666</v>
      </c>
      <c r="C737" s="19">
        <f t="shared" si="1"/>
        <v>816666</v>
      </c>
      <c r="D737" s="19">
        <f t="shared" si="2"/>
        <v>1980000</v>
      </c>
      <c r="E737" s="21">
        <f t="shared" si="3"/>
        <v>1980000</v>
      </c>
      <c r="F737" s="21">
        <f t="shared" si="4"/>
        <v>3920400000000</v>
      </c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3">
        <f>'Solar Power Plant Data'!A738</f>
        <v>43194.08333</v>
      </c>
      <c r="B738" s="19">
        <f>'Solar Power Plant Data'!H738</f>
        <v>576666</v>
      </c>
      <c r="C738" s="19">
        <f t="shared" si="1"/>
        <v>111667</v>
      </c>
      <c r="D738" s="19">
        <f t="shared" si="2"/>
        <v>464999</v>
      </c>
      <c r="E738" s="21">
        <f t="shared" si="3"/>
        <v>464999</v>
      </c>
      <c r="F738" s="21">
        <f t="shared" si="4"/>
        <v>216224070001</v>
      </c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3">
        <f>'Solar Power Plant Data'!A739</f>
        <v>43195.08333</v>
      </c>
      <c r="B739" s="19">
        <f>'Solar Power Plant Data'!H739</f>
        <v>0</v>
      </c>
      <c r="C739" s="19">
        <f t="shared" si="1"/>
        <v>0</v>
      </c>
      <c r="D739" s="19">
        <f t="shared" si="2"/>
        <v>0</v>
      </c>
      <c r="E739" s="21">
        <f t="shared" si="3"/>
        <v>0</v>
      </c>
      <c r="F739" s="21">
        <f t="shared" si="4"/>
        <v>0</v>
      </c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3">
        <f>'Solar Power Plant Data'!A740</f>
        <v>43196.08333</v>
      </c>
      <c r="B740" s="19">
        <f>'Solar Power Plant Data'!H740</f>
        <v>0</v>
      </c>
      <c r="C740" s="19">
        <f t="shared" si="1"/>
        <v>0</v>
      </c>
      <c r="D740" s="19">
        <f t="shared" si="2"/>
        <v>0</v>
      </c>
      <c r="E740" s="21">
        <f t="shared" si="3"/>
        <v>0</v>
      </c>
      <c r="F740" s="21">
        <f t="shared" si="4"/>
        <v>0</v>
      </c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3">
        <f>'Solar Power Plant Data'!A741</f>
        <v>43197.08333</v>
      </c>
      <c r="B741" s="19">
        <f>'Solar Power Plant Data'!H741</f>
        <v>0</v>
      </c>
      <c r="C741" s="19">
        <f t="shared" si="1"/>
        <v>0</v>
      </c>
      <c r="D741" s="19">
        <f t="shared" si="2"/>
        <v>0</v>
      </c>
      <c r="E741" s="21">
        <f t="shared" si="3"/>
        <v>0</v>
      </c>
      <c r="F741" s="21">
        <f t="shared" si="4"/>
        <v>0</v>
      </c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3">
        <f>'Solar Power Plant Data'!A742</f>
        <v>43198.08333</v>
      </c>
      <c r="B742" s="19">
        <f>'Solar Power Plant Data'!H742</f>
        <v>0</v>
      </c>
      <c r="C742" s="19">
        <f t="shared" si="1"/>
        <v>0</v>
      </c>
      <c r="D742" s="19">
        <f t="shared" si="2"/>
        <v>0</v>
      </c>
      <c r="E742" s="21">
        <f t="shared" si="3"/>
        <v>0</v>
      </c>
      <c r="F742" s="21">
        <f t="shared" si="4"/>
        <v>0</v>
      </c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3">
        <f>'Solar Power Plant Data'!A743</f>
        <v>43199.08333</v>
      </c>
      <c r="B743" s="19">
        <f>'Solar Power Plant Data'!H743</f>
        <v>0</v>
      </c>
      <c r="C743" s="19">
        <f t="shared" si="1"/>
        <v>0</v>
      </c>
      <c r="D743" s="19">
        <f t="shared" si="2"/>
        <v>0</v>
      </c>
      <c r="E743" s="21">
        <f t="shared" si="3"/>
        <v>0</v>
      </c>
      <c r="F743" s="21">
        <f t="shared" si="4"/>
        <v>0</v>
      </c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3">
        <f>'Solar Power Plant Data'!A744</f>
        <v>43200.08333</v>
      </c>
      <c r="B744" s="19">
        <f>'Solar Power Plant Data'!H744</f>
        <v>0</v>
      </c>
      <c r="C744" s="19">
        <f t="shared" si="1"/>
        <v>0</v>
      </c>
      <c r="D744" s="19">
        <f t="shared" si="2"/>
        <v>0</v>
      </c>
      <c r="E744" s="21">
        <f t="shared" si="3"/>
        <v>0</v>
      </c>
      <c r="F744" s="21">
        <f t="shared" si="4"/>
        <v>0</v>
      </c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3">
        <f>'Solar Power Plant Data'!A745</f>
        <v>43201.08333</v>
      </c>
      <c r="B745" s="19">
        <f>'Solar Power Plant Data'!H745</f>
        <v>0</v>
      </c>
      <c r="C745" s="19">
        <f t="shared" si="1"/>
        <v>0</v>
      </c>
      <c r="D745" s="19">
        <f t="shared" si="2"/>
        <v>0</v>
      </c>
      <c r="E745" s="21">
        <f t="shared" si="3"/>
        <v>0</v>
      </c>
      <c r="F745" s="21">
        <f t="shared" si="4"/>
        <v>0</v>
      </c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18" t="str">
        <f>'Solar Power Plant Data'!A746</f>
        <v/>
      </c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18" t="str">
        <f>'Solar Power Plant Data'!A747</f>
        <v/>
      </c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18" t="str">
        <f>'Solar Power Plant Data'!A748</f>
        <v/>
      </c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18" t="str">
        <f>'Solar Power Plant Data'!A749</f>
        <v/>
      </c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18" t="str">
        <f>'Solar Power Plant Data'!A750</f>
        <v/>
      </c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18" t="str">
        <f>'Solar Power Plant Data'!A751</f>
        <v/>
      </c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18" t="str">
        <f>'Solar Power Plant Data'!A752</f>
        <v/>
      </c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18" t="str">
        <f>'Solar Power Plant Data'!A753</f>
        <v/>
      </c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</sheetData>
  <drawing r:id="rId1"/>
</worksheet>
</file>